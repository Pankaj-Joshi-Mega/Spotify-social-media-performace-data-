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8da17289258ddc3/Desktop/project_spotify/"/>
    </mc:Choice>
  </mc:AlternateContent>
  <xr:revisionPtr revIDLastSave="9" documentId="13_ncr:1_{D42446DB-5DFE-4910-B93D-F32EFB3BDC37}" xr6:coauthVersionLast="47" xr6:coauthVersionMax="47" xr10:uidLastSave="{7448C393-4775-4A3B-A396-0B9EE2DDFC38}"/>
  <bookViews>
    <workbookView xWindow="-110" yWindow="-110" windowWidth="19420" windowHeight="10300" xr2:uid="{00000000-000D-0000-FFFF-FFFF00000000}"/>
  </bookViews>
  <sheets>
    <sheet name="Video Upload link" sheetId="26" r:id="rId1"/>
    <sheet name="Posts" sheetId="1" r:id="rId2"/>
    <sheet name="Task-1" sheetId="4" r:id="rId3"/>
    <sheet name="Task-2" sheetId="6" r:id="rId4"/>
    <sheet name="Task-3 Engagement Summary" sheetId="2" r:id="rId5"/>
    <sheet name="Task-4" sheetId="17" r:id="rId6"/>
    <sheet name="Task-5" sheetId="24" r:id="rId7"/>
    <sheet name="Task 6" sheetId="25" r:id="rId8"/>
    <sheet name="Campaign Metadata" sheetId="3" r:id="rId9"/>
  </sheets>
  <definedNames>
    <definedName name="_xlnm._FilterDatabase" localSheetId="4" hidden="1">'Task-3 Engagement Summary'!$A$1:$I$201</definedName>
    <definedName name="ExternalData_1" localSheetId="2" hidden="1">'Task-1'!$A$1:$M$301</definedName>
  </definedNames>
  <calcPr calcId="191029"/>
  <pivotCaches>
    <pivotCache cacheId="0" r:id="rId10"/>
    <pivotCache cacheId="1" r:id="rId11"/>
    <pivotCache cacheId="2" r:id="rId12"/>
    <pivotCache cacheId="3" r:id="rId13"/>
    <pivotCache cacheId="4" r:id="rId1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4" l="1"/>
  <c r="P8" i="24"/>
  <c r="M42" i="24" a="1"/>
  <c r="E40" i="24"/>
  <c r="E41" i="24"/>
  <c r="E42" i="24"/>
  <c r="E39" i="2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N54" i="4"/>
  <c r="N146" i="4"/>
  <c r="N203" i="4"/>
  <c r="N65" i="4"/>
  <c r="N55" i="4"/>
  <c r="N191" i="4"/>
  <c r="N2" i="4"/>
  <c r="N145" i="4"/>
  <c r="N163" i="4"/>
  <c r="N57" i="4"/>
  <c r="N159" i="4"/>
  <c r="N242" i="4"/>
  <c r="N192" i="4"/>
  <c r="N156" i="4"/>
  <c r="N76" i="4"/>
  <c r="N128" i="4"/>
  <c r="N262" i="4"/>
  <c r="N47" i="4"/>
  <c r="N214" i="4"/>
  <c r="N36" i="4"/>
  <c r="N272" i="4"/>
  <c r="N7" i="4"/>
  <c r="N179" i="4"/>
  <c r="N84" i="4"/>
  <c r="N175" i="4"/>
  <c r="N252" i="4"/>
  <c r="N74" i="4"/>
  <c r="N170" i="4"/>
  <c r="N204" i="4"/>
  <c r="N102" i="4"/>
  <c r="N177" i="4"/>
  <c r="N188" i="4"/>
  <c r="N26" i="4"/>
  <c r="N269" i="4"/>
  <c r="N117" i="4"/>
  <c r="N216" i="4"/>
  <c r="N90" i="4"/>
  <c r="N281" i="4"/>
  <c r="N278" i="4"/>
  <c r="N43" i="4"/>
  <c r="N88" i="4"/>
  <c r="N129" i="4"/>
  <c r="N67" i="4"/>
  <c r="N277" i="4"/>
  <c r="N71" i="4"/>
  <c r="N41" i="4"/>
  <c r="N114" i="4"/>
  <c r="N31" i="4"/>
  <c r="N87" i="4"/>
  <c r="N6" i="4"/>
  <c r="N105" i="4"/>
  <c r="N37" i="4"/>
  <c r="N229" i="4"/>
  <c r="N120" i="4"/>
  <c r="N260" i="4"/>
  <c r="N49" i="4"/>
  <c r="N96" i="4"/>
  <c r="N142" i="4"/>
  <c r="N301" i="4"/>
  <c r="N80" i="4"/>
  <c r="N144" i="4"/>
  <c r="N271" i="4"/>
  <c r="N283" i="4"/>
  <c r="N136" i="4"/>
  <c r="N286" i="4"/>
  <c r="N139" i="4"/>
  <c r="N15" i="4"/>
  <c r="N11" i="4"/>
  <c r="N264" i="4"/>
  <c r="N94" i="4"/>
  <c r="N29" i="4"/>
  <c r="N172" i="4"/>
  <c r="N248" i="4"/>
  <c r="N275" i="4"/>
  <c r="N253" i="4"/>
  <c r="N187" i="4"/>
  <c r="N119" i="4"/>
  <c r="N52" i="4"/>
  <c r="N45" i="4"/>
  <c r="N195" i="4"/>
  <c r="N143" i="4"/>
  <c r="N227" i="4"/>
  <c r="N39" i="4"/>
  <c r="N25" i="4"/>
  <c r="N224" i="4"/>
  <c r="N268" i="4"/>
  <c r="N221" i="4"/>
  <c r="N12" i="4"/>
  <c r="N110" i="4"/>
  <c r="N16" i="4"/>
  <c r="N183" i="4"/>
  <c r="N182" i="4"/>
  <c r="N215" i="4"/>
  <c r="N44" i="4"/>
  <c r="N46" i="4"/>
  <c r="N51" i="4"/>
  <c r="N97" i="4"/>
  <c r="N122" i="4"/>
  <c r="N206" i="4"/>
  <c r="N108" i="4"/>
  <c r="N166" i="4"/>
  <c r="N42" i="4"/>
  <c r="N209" i="4"/>
  <c r="N141" i="4"/>
  <c r="N219" i="4"/>
  <c r="N3" i="4"/>
  <c r="N150" i="4"/>
  <c r="N86" i="4"/>
  <c r="N50" i="4"/>
  <c r="N30" i="4"/>
  <c r="N21" i="4"/>
  <c r="N244" i="4"/>
  <c r="N279" i="4"/>
  <c r="N254" i="4"/>
  <c r="N148" i="4"/>
  <c r="N257" i="4"/>
  <c r="N289" i="4"/>
  <c r="N274" i="4"/>
  <c r="N231" i="4"/>
  <c r="N263" i="4"/>
  <c r="N127" i="4"/>
  <c r="N284" i="4"/>
  <c r="N228" i="4"/>
  <c r="N155" i="4"/>
  <c r="N83" i="4"/>
  <c r="N201" i="4"/>
  <c r="N290" i="4"/>
  <c r="N100" i="4"/>
  <c r="N180" i="4"/>
  <c r="N299" i="4"/>
  <c r="N239" i="4"/>
  <c r="N133" i="4"/>
  <c r="N261" i="4"/>
  <c r="N190" i="4"/>
  <c r="N118" i="4"/>
  <c r="N10" i="4"/>
  <c r="N22" i="4"/>
  <c r="N300" i="4"/>
  <c r="N70" i="4"/>
  <c r="N147" i="4"/>
  <c r="N202" i="4"/>
  <c r="N68" i="4"/>
  <c r="N132" i="4"/>
  <c r="N223" i="4"/>
  <c r="N72" i="4"/>
  <c r="N173" i="4"/>
  <c r="N197" i="4"/>
  <c r="N93" i="4"/>
  <c r="N174" i="4"/>
  <c r="N121" i="4"/>
  <c r="N205" i="4"/>
  <c r="N134" i="4"/>
  <c r="N169" i="4"/>
  <c r="N226" i="4"/>
  <c r="N101" i="4"/>
  <c r="N282" i="4"/>
  <c r="N8" i="4"/>
  <c r="N28" i="4"/>
  <c r="N165" i="4"/>
  <c r="N256" i="4"/>
  <c r="N33" i="4"/>
  <c r="N77" i="4"/>
  <c r="N82" i="4"/>
  <c r="N287" i="4"/>
  <c r="N95" i="4"/>
  <c r="N135" i="4"/>
  <c r="N27" i="4"/>
  <c r="N107" i="4"/>
  <c r="N158" i="4"/>
  <c r="N34" i="4"/>
  <c r="N115" i="4"/>
  <c r="N24" i="4"/>
  <c r="N109" i="4"/>
  <c r="N104" i="4"/>
  <c r="N234" i="4"/>
  <c r="N160" i="4"/>
  <c r="N17" i="4"/>
  <c r="N193" i="4"/>
  <c r="N200" i="4"/>
  <c r="N184" i="4"/>
  <c r="N273" i="4"/>
  <c r="N196" i="4"/>
  <c r="N20" i="4"/>
  <c r="N218" i="4"/>
  <c r="N153" i="4"/>
  <c r="N4" i="4"/>
  <c r="N59" i="4"/>
  <c r="N112" i="4"/>
  <c r="N75" i="4"/>
  <c r="N125" i="4"/>
  <c r="N106" i="4"/>
  <c r="N140" i="4"/>
  <c r="N212" i="4"/>
  <c r="N235" i="4"/>
  <c r="N92" i="4"/>
  <c r="N251" i="4"/>
  <c r="N285" i="4"/>
  <c r="N288" i="4"/>
  <c r="N48" i="4"/>
  <c r="N266" i="4"/>
  <c r="N217" i="4"/>
  <c r="N89" i="4"/>
  <c r="N168" i="4"/>
  <c r="N116" i="4"/>
  <c r="N185" i="4"/>
  <c r="N181" i="4"/>
  <c r="N199" i="4"/>
  <c r="N280" i="4"/>
  <c r="N186" i="4"/>
  <c r="N292" i="4"/>
  <c r="N297" i="4"/>
  <c r="N276" i="4"/>
  <c r="N13" i="4"/>
  <c r="N61" i="4"/>
  <c r="N167" i="4"/>
  <c r="N249" i="4"/>
  <c r="N123" i="4"/>
  <c r="N62" i="4"/>
  <c r="N265" i="4"/>
  <c r="N178" i="4"/>
  <c r="N60" i="4"/>
  <c r="N149" i="4"/>
  <c r="N298" i="4"/>
  <c r="N79" i="4"/>
  <c r="N245" i="4"/>
  <c r="N246" i="4"/>
  <c r="N63" i="4"/>
  <c r="N296" i="4"/>
  <c r="N137" i="4"/>
  <c r="N258" i="4"/>
  <c r="N208" i="4"/>
  <c r="N85" i="4"/>
  <c r="N176" i="4"/>
  <c r="N19" i="4"/>
  <c r="N213" i="4"/>
  <c r="N171" i="4"/>
  <c r="N56" i="4"/>
  <c r="N243" i="4"/>
  <c r="N18" i="4"/>
  <c r="N98" i="4"/>
  <c r="N259" i="4"/>
  <c r="N53" i="4"/>
  <c r="N113" i="4"/>
  <c r="N151" i="4"/>
  <c r="N131" i="4"/>
  <c r="N23" i="4"/>
  <c r="N198" i="4"/>
  <c r="N9" i="4"/>
  <c r="N40" i="4"/>
  <c r="N14" i="4"/>
  <c r="N270" i="4"/>
  <c r="N91" i="4"/>
  <c r="N255" i="4"/>
  <c r="N35" i="4"/>
  <c r="N233" i="4"/>
  <c r="N247" i="4"/>
  <c r="N154" i="4"/>
  <c r="N293" i="4"/>
  <c r="N189" i="4"/>
  <c r="N164" i="4"/>
  <c r="N207" i="4"/>
  <c r="N64" i="4"/>
  <c r="N241" i="4"/>
  <c r="N237" i="4"/>
  <c r="N138" i="4"/>
  <c r="N69" i="4"/>
  <c r="N220" i="4"/>
  <c r="N194" i="4"/>
  <c r="N130" i="4"/>
  <c r="N294" i="4"/>
  <c r="N38" i="4"/>
  <c r="N250" i="4"/>
  <c r="N211" i="4"/>
  <c r="N238" i="4"/>
  <c r="N126" i="4"/>
  <c r="N232" i="4"/>
  <c r="N162" i="4"/>
  <c r="N210" i="4"/>
  <c r="N5" i="4"/>
  <c r="N78" i="4"/>
  <c r="N111" i="4"/>
  <c r="N240" i="4"/>
  <c r="N152" i="4"/>
  <c r="N161" i="4"/>
  <c r="N291" i="4"/>
  <c r="N73" i="4"/>
  <c r="N157" i="4"/>
  <c r="N99" i="4"/>
  <c r="N103" i="4"/>
  <c r="N32" i="4"/>
  <c r="N230" i="4"/>
  <c r="N58" i="4"/>
  <c r="N267" i="4"/>
  <c r="N295" i="4"/>
  <c r="N81" i="4"/>
  <c r="N66" i="4"/>
  <c r="N225" i="4"/>
  <c r="N222" i="4"/>
  <c r="N236" i="4"/>
  <c r="N124" i="4"/>
  <c r="G15" i="17"/>
  <c r="G14" i="17"/>
  <c r="G13" i="17"/>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H3" i="2"/>
  <c r="H4" i="2"/>
  <c r="H5" i="2"/>
  <c r="H6" i="2"/>
  <c r="I6" i="2" s="1"/>
  <c r="H7" i="2"/>
  <c r="I7" i="2" s="1"/>
  <c r="H8" i="2"/>
  <c r="H9" i="2"/>
  <c r="H10" i="2"/>
  <c r="H11" i="2"/>
  <c r="H12" i="2"/>
  <c r="H13" i="2"/>
  <c r="H14" i="2"/>
  <c r="I14" i="2" s="1"/>
  <c r="H15" i="2"/>
  <c r="H16" i="2"/>
  <c r="H17" i="2"/>
  <c r="I17" i="2" s="1"/>
  <c r="H18" i="2"/>
  <c r="H19" i="2"/>
  <c r="H20" i="2"/>
  <c r="H21" i="2"/>
  <c r="H22" i="2"/>
  <c r="H23" i="2"/>
  <c r="I23" i="2" s="1"/>
  <c r="H24" i="2"/>
  <c r="I24" i="2" s="1"/>
  <c r="H25" i="2"/>
  <c r="H26" i="2"/>
  <c r="H27" i="2"/>
  <c r="H28" i="2"/>
  <c r="H29" i="2"/>
  <c r="H30" i="2"/>
  <c r="H31" i="2"/>
  <c r="I31" i="2" s="1"/>
  <c r="H32" i="2"/>
  <c r="I32" i="2" s="1"/>
  <c r="H33" i="2"/>
  <c r="H34" i="2"/>
  <c r="H35" i="2"/>
  <c r="H36" i="2"/>
  <c r="I36" i="2" s="1"/>
  <c r="H37" i="2"/>
  <c r="H38" i="2"/>
  <c r="H39" i="2"/>
  <c r="I39" i="2" s="1"/>
  <c r="H40" i="2"/>
  <c r="I40" i="2" s="1"/>
  <c r="H41" i="2"/>
  <c r="I41" i="2" s="1"/>
  <c r="H42" i="2"/>
  <c r="H43" i="2"/>
  <c r="H44" i="2"/>
  <c r="H45" i="2"/>
  <c r="H46" i="2"/>
  <c r="H47" i="2"/>
  <c r="I47" i="2" s="1"/>
  <c r="H48" i="2"/>
  <c r="I48" i="2" s="1"/>
  <c r="H49" i="2"/>
  <c r="I49" i="2" s="1"/>
  <c r="H50" i="2"/>
  <c r="H51" i="2"/>
  <c r="H52" i="2"/>
  <c r="H53" i="2"/>
  <c r="H54" i="2"/>
  <c r="H55" i="2"/>
  <c r="I55" i="2" s="1"/>
  <c r="H56" i="2"/>
  <c r="I56" i="2" s="1"/>
  <c r="H57" i="2"/>
  <c r="I57" i="2" s="1"/>
  <c r="H58" i="2"/>
  <c r="H59" i="2"/>
  <c r="H60" i="2"/>
  <c r="H61" i="2"/>
  <c r="H62" i="2"/>
  <c r="H63" i="2"/>
  <c r="I63" i="2" s="1"/>
  <c r="H64" i="2"/>
  <c r="I64" i="2" s="1"/>
  <c r="H65" i="2"/>
  <c r="H66" i="2"/>
  <c r="H67" i="2"/>
  <c r="H68" i="2"/>
  <c r="H69" i="2"/>
  <c r="H70" i="2"/>
  <c r="H71" i="2"/>
  <c r="I71" i="2" s="1"/>
  <c r="H72" i="2"/>
  <c r="I72" i="2" s="1"/>
  <c r="H73" i="2"/>
  <c r="H74" i="2"/>
  <c r="H75" i="2"/>
  <c r="H76" i="2"/>
  <c r="H77" i="2"/>
  <c r="H78" i="2"/>
  <c r="H79" i="2"/>
  <c r="I79" i="2" s="1"/>
  <c r="H80" i="2"/>
  <c r="I80" i="2" s="1"/>
  <c r="H81" i="2"/>
  <c r="I81" i="2" s="1"/>
  <c r="H82" i="2"/>
  <c r="I82" i="2" s="1"/>
  <c r="H83" i="2"/>
  <c r="H84" i="2"/>
  <c r="I84" i="2" s="1"/>
  <c r="H85" i="2"/>
  <c r="H86" i="2"/>
  <c r="I86" i="2" s="1"/>
  <c r="H87" i="2"/>
  <c r="H88" i="2"/>
  <c r="I88" i="2" s="1"/>
  <c r="H89" i="2"/>
  <c r="H90" i="2"/>
  <c r="H91" i="2"/>
  <c r="H92" i="2"/>
  <c r="H93" i="2"/>
  <c r="H94" i="2"/>
  <c r="H95" i="2"/>
  <c r="I95" i="2" s="1"/>
  <c r="H96" i="2"/>
  <c r="H97" i="2"/>
  <c r="H98" i="2"/>
  <c r="H99" i="2"/>
  <c r="H100" i="2"/>
  <c r="H101" i="2"/>
  <c r="H102" i="2"/>
  <c r="H103" i="2"/>
  <c r="I103" i="2" s="1"/>
  <c r="H104" i="2"/>
  <c r="I104" i="2" s="1"/>
  <c r="H105" i="2"/>
  <c r="I105" i="2" s="1"/>
  <c r="H106" i="2"/>
  <c r="H107" i="2"/>
  <c r="H108" i="2"/>
  <c r="H109" i="2"/>
  <c r="H110" i="2"/>
  <c r="H111" i="2"/>
  <c r="H112" i="2"/>
  <c r="I112" i="2" s="1"/>
  <c r="H113" i="2"/>
  <c r="H114" i="2"/>
  <c r="H115" i="2"/>
  <c r="H116" i="2"/>
  <c r="H117" i="2"/>
  <c r="H118" i="2"/>
  <c r="H119" i="2"/>
  <c r="I119" i="2" s="1"/>
  <c r="H120" i="2"/>
  <c r="I120" i="2" s="1"/>
  <c r="H121" i="2"/>
  <c r="H122" i="2"/>
  <c r="I122" i="2" s="1"/>
  <c r="H123" i="2"/>
  <c r="H124" i="2"/>
  <c r="H125" i="2"/>
  <c r="H126" i="2"/>
  <c r="H127" i="2"/>
  <c r="I127" i="2" s="1"/>
  <c r="H128" i="2"/>
  <c r="I128" i="2" s="1"/>
  <c r="H129" i="2"/>
  <c r="H130" i="2"/>
  <c r="H131" i="2"/>
  <c r="I131" i="2" s="1"/>
  <c r="H132" i="2"/>
  <c r="H133" i="2"/>
  <c r="H134" i="2"/>
  <c r="H135" i="2"/>
  <c r="H136" i="2"/>
  <c r="I136" i="2" s="1"/>
  <c r="H137" i="2"/>
  <c r="H138" i="2"/>
  <c r="H139" i="2"/>
  <c r="I139" i="2" s="1"/>
  <c r="H140" i="2"/>
  <c r="H141" i="2"/>
  <c r="H142" i="2"/>
  <c r="H143" i="2"/>
  <c r="I143" i="2" s="1"/>
  <c r="H144" i="2"/>
  <c r="I144" i="2" s="1"/>
  <c r="H145" i="2"/>
  <c r="I145" i="2" s="1"/>
  <c r="H146" i="2"/>
  <c r="H147" i="2"/>
  <c r="H148" i="2"/>
  <c r="H149" i="2"/>
  <c r="H150" i="2"/>
  <c r="H151" i="2"/>
  <c r="I151" i="2" s="1"/>
  <c r="H152" i="2"/>
  <c r="I152" i="2" s="1"/>
  <c r="H153" i="2"/>
  <c r="H154" i="2"/>
  <c r="H155" i="2"/>
  <c r="H156" i="2"/>
  <c r="I156" i="2" s="1"/>
  <c r="H157" i="2"/>
  <c r="H158" i="2"/>
  <c r="H159" i="2"/>
  <c r="H160" i="2"/>
  <c r="H161" i="2"/>
  <c r="H162" i="2"/>
  <c r="H163" i="2"/>
  <c r="H164" i="2"/>
  <c r="H165" i="2"/>
  <c r="H166" i="2"/>
  <c r="H167" i="2"/>
  <c r="I167" i="2" s="1"/>
  <c r="H168" i="2"/>
  <c r="I168" i="2" s="1"/>
  <c r="H169" i="2"/>
  <c r="H170" i="2"/>
  <c r="I170" i="2" s="1"/>
  <c r="H171" i="2"/>
  <c r="H172" i="2"/>
  <c r="I172" i="2" s="1"/>
  <c r="H173" i="2"/>
  <c r="H174" i="2"/>
  <c r="I174" i="2" s="1"/>
  <c r="H175" i="2"/>
  <c r="I175" i="2" s="1"/>
  <c r="H176" i="2"/>
  <c r="I176" i="2" s="1"/>
  <c r="H177" i="2"/>
  <c r="I177" i="2" s="1"/>
  <c r="H178" i="2"/>
  <c r="H179" i="2"/>
  <c r="H180" i="2"/>
  <c r="H181" i="2"/>
  <c r="H182" i="2"/>
  <c r="H183" i="2"/>
  <c r="I183" i="2" s="1"/>
  <c r="H184" i="2"/>
  <c r="H185" i="2"/>
  <c r="I185" i="2" s="1"/>
  <c r="H186" i="2"/>
  <c r="H187" i="2"/>
  <c r="H188" i="2"/>
  <c r="H189" i="2"/>
  <c r="H190" i="2"/>
  <c r="H191" i="2"/>
  <c r="I191" i="2" s="1"/>
  <c r="H192" i="2"/>
  <c r="I192" i="2" s="1"/>
  <c r="H193" i="2"/>
  <c r="H194" i="2"/>
  <c r="H195" i="2"/>
  <c r="H196" i="2"/>
  <c r="H197" i="2"/>
  <c r="I197" i="2" s="1"/>
  <c r="H198" i="2"/>
  <c r="H199" i="2"/>
  <c r="I199" i="2" s="1"/>
  <c r="H200" i="2"/>
  <c r="I200" i="2" s="1"/>
  <c r="H201" i="2"/>
  <c r="H2" i="2"/>
  <c r="C37" i="6"/>
  <c r="C38" i="6"/>
  <c r="C39" i="6"/>
  <c r="C40" i="6"/>
  <c r="C41" i="6"/>
  <c r="N54" i="1"/>
  <c r="N146" i="1"/>
  <c r="N203" i="1"/>
  <c r="N65" i="1"/>
  <c r="N55" i="1"/>
  <c r="N191" i="1"/>
  <c r="N2" i="1"/>
  <c r="N145" i="1"/>
  <c r="N163" i="1"/>
  <c r="N57" i="1"/>
  <c r="N159" i="1"/>
  <c r="N242" i="1"/>
  <c r="N192" i="1"/>
  <c r="N156" i="1"/>
  <c r="N76" i="1"/>
  <c r="N128" i="1"/>
  <c r="N262" i="1"/>
  <c r="N47" i="1"/>
  <c r="N214" i="1"/>
  <c r="N36" i="1"/>
  <c r="N272" i="1"/>
  <c r="N7" i="1"/>
  <c r="N179" i="1"/>
  <c r="N84" i="1"/>
  <c r="N175" i="1"/>
  <c r="N252" i="1"/>
  <c r="N74" i="1"/>
  <c r="N170" i="1"/>
  <c r="N204" i="1"/>
  <c r="N102" i="1"/>
  <c r="N177" i="1"/>
  <c r="N188" i="1"/>
  <c r="N26" i="1"/>
  <c r="N269" i="1"/>
  <c r="N117" i="1"/>
  <c r="N216" i="1"/>
  <c r="N90" i="1"/>
  <c r="N281" i="1"/>
  <c r="N278" i="1"/>
  <c r="N43" i="1"/>
  <c r="N88" i="1"/>
  <c r="N129" i="1"/>
  <c r="N67" i="1"/>
  <c r="N277" i="1"/>
  <c r="N71" i="1"/>
  <c r="N41" i="1"/>
  <c r="N114" i="1"/>
  <c r="N31" i="1"/>
  <c r="N87" i="1"/>
  <c r="N6" i="1"/>
  <c r="N105" i="1"/>
  <c r="N37" i="1"/>
  <c r="N229" i="1"/>
  <c r="N120" i="1"/>
  <c r="N260" i="1"/>
  <c r="N49" i="1"/>
  <c r="N96" i="1"/>
  <c r="N142" i="1"/>
  <c r="N301" i="1"/>
  <c r="N80" i="1"/>
  <c r="N144" i="1"/>
  <c r="N271" i="1"/>
  <c r="N283" i="1"/>
  <c r="N136" i="1"/>
  <c r="N286" i="1"/>
  <c r="N139" i="1"/>
  <c r="N15" i="1"/>
  <c r="N11" i="1"/>
  <c r="N264" i="1"/>
  <c r="N94" i="1"/>
  <c r="N29" i="1"/>
  <c r="N172" i="1"/>
  <c r="N248" i="1"/>
  <c r="N275" i="1"/>
  <c r="N253" i="1"/>
  <c r="N187" i="1"/>
  <c r="N119" i="1"/>
  <c r="N52" i="1"/>
  <c r="N45" i="1"/>
  <c r="N195" i="1"/>
  <c r="N143" i="1"/>
  <c r="N227" i="1"/>
  <c r="N39" i="1"/>
  <c r="N25" i="1"/>
  <c r="N224" i="1"/>
  <c r="N268" i="1"/>
  <c r="N221" i="1"/>
  <c r="N12" i="1"/>
  <c r="N110" i="1"/>
  <c r="N16" i="1"/>
  <c r="N183" i="1"/>
  <c r="N182" i="1"/>
  <c r="N215" i="1"/>
  <c r="N44" i="1"/>
  <c r="N46" i="1"/>
  <c r="N51" i="1"/>
  <c r="N97" i="1"/>
  <c r="N122" i="1"/>
  <c r="N206" i="1"/>
  <c r="N108" i="1"/>
  <c r="N166" i="1"/>
  <c r="N42" i="1"/>
  <c r="N209" i="1"/>
  <c r="N141" i="1"/>
  <c r="N219" i="1"/>
  <c r="N3" i="1"/>
  <c r="N150" i="1"/>
  <c r="N86" i="1"/>
  <c r="N50" i="1"/>
  <c r="N30" i="1"/>
  <c r="N21" i="1"/>
  <c r="N244" i="1"/>
  <c r="N279" i="1"/>
  <c r="N254" i="1"/>
  <c r="N148" i="1"/>
  <c r="N257" i="1"/>
  <c r="N289" i="1"/>
  <c r="N274" i="1"/>
  <c r="N231" i="1"/>
  <c r="N263" i="1"/>
  <c r="N127" i="1"/>
  <c r="N284" i="1"/>
  <c r="N228" i="1"/>
  <c r="N155" i="1"/>
  <c r="N83" i="1"/>
  <c r="N201" i="1"/>
  <c r="N290" i="1"/>
  <c r="N100" i="1"/>
  <c r="N180" i="1"/>
  <c r="N299" i="1"/>
  <c r="N239" i="1"/>
  <c r="N133" i="1"/>
  <c r="N261" i="1"/>
  <c r="N190" i="1"/>
  <c r="N118" i="1"/>
  <c r="N10" i="1"/>
  <c r="N22" i="1"/>
  <c r="N300" i="1"/>
  <c r="N70" i="1"/>
  <c r="N147" i="1"/>
  <c r="N202" i="1"/>
  <c r="N68" i="1"/>
  <c r="N132" i="1"/>
  <c r="N223" i="1"/>
  <c r="N72" i="1"/>
  <c r="N173" i="1"/>
  <c r="N197" i="1"/>
  <c r="N93" i="1"/>
  <c r="N174" i="1"/>
  <c r="N121" i="1"/>
  <c r="N205" i="1"/>
  <c r="N134" i="1"/>
  <c r="N169" i="1"/>
  <c r="N226" i="1"/>
  <c r="N101" i="1"/>
  <c r="N282" i="1"/>
  <c r="N8" i="1"/>
  <c r="N28" i="1"/>
  <c r="N165" i="1"/>
  <c r="N256" i="1"/>
  <c r="N33" i="1"/>
  <c r="N77" i="1"/>
  <c r="N82" i="1"/>
  <c r="N287" i="1"/>
  <c r="N95" i="1"/>
  <c r="N135" i="1"/>
  <c r="N27" i="1"/>
  <c r="N107" i="1"/>
  <c r="N158" i="1"/>
  <c r="N34" i="1"/>
  <c r="N115" i="1"/>
  <c r="N24" i="1"/>
  <c r="N109" i="1"/>
  <c r="N104" i="1"/>
  <c r="N234" i="1"/>
  <c r="N160" i="1"/>
  <c r="N17" i="1"/>
  <c r="N193" i="1"/>
  <c r="N200" i="1"/>
  <c r="N184" i="1"/>
  <c r="N273" i="1"/>
  <c r="N196" i="1"/>
  <c r="N20" i="1"/>
  <c r="N218" i="1"/>
  <c r="N153" i="1"/>
  <c r="N4" i="1"/>
  <c r="N59" i="1"/>
  <c r="N112" i="1"/>
  <c r="N75" i="1"/>
  <c r="N125" i="1"/>
  <c r="N106" i="1"/>
  <c r="N140" i="1"/>
  <c r="N212" i="1"/>
  <c r="N235" i="1"/>
  <c r="N92" i="1"/>
  <c r="N251" i="1"/>
  <c r="N285" i="1"/>
  <c r="N288" i="1"/>
  <c r="N48" i="1"/>
  <c r="N266" i="1"/>
  <c r="N217" i="1"/>
  <c r="N89" i="1"/>
  <c r="N168" i="1"/>
  <c r="N116" i="1"/>
  <c r="N185" i="1"/>
  <c r="N181" i="1"/>
  <c r="N199" i="1"/>
  <c r="N280" i="1"/>
  <c r="N186" i="1"/>
  <c r="N292" i="1"/>
  <c r="N297" i="1"/>
  <c r="N276" i="1"/>
  <c r="N13" i="1"/>
  <c r="N61" i="1"/>
  <c r="N167" i="1"/>
  <c r="N249" i="1"/>
  <c r="N123" i="1"/>
  <c r="N62" i="1"/>
  <c r="N265" i="1"/>
  <c r="N178" i="1"/>
  <c r="N60" i="1"/>
  <c r="N149" i="1"/>
  <c r="N298" i="1"/>
  <c r="N79" i="1"/>
  <c r="N245" i="1"/>
  <c r="N246" i="1"/>
  <c r="N63" i="1"/>
  <c r="N296" i="1"/>
  <c r="N137" i="1"/>
  <c r="N258" i="1"/>
  <c r="N208" i="1"/>
  <c r="N85" i="1"/>
  <c r="N176" i="1"/>
  <c r="N19" i="1"/>
  <c r="N213" i="1"/>
  <c r="N171" i="1"/>
  <c r="N56" i="1"/>
  <c r="N243" i="1"/>
  <c r="N18" i="1"/>
  <c r="N98" i="1"/>
  <c r="N259" i="1"/>
  <c r="N53" i="1"/>
  <c r="N113" i="1"/>
  <c r="N151" i="1"/>
  <c r="N131" i="1"/>
  <c r="N23" i="1"/>
  <c r="N198" i="1"/>
  <c r="N9" i="1"/>
  <c r="N40" i="1"/>
  <c r="N14" i="1"/>
  <c r="N270" i="1"/>
  <c r="N91" i="1"/>
  <c r="N255" i="1"/>
  <c r="N35" i="1"/>
  <c r="N233" i="1"/>
  <c r="N247" i="1"/>
  <c r="N154" i="1"/>
  <c r="N293" i="1"/>
  <c r="N189" i="1"/>
  <c r="N164" i="1"/>
  <c r="N207" i="1"/>
  <c r="N64" i="1"/>
  <c r="N241" i="1"/>
  <c r="N237" i="1"/>
  <c r="N138" i="1"/>
  <c r="N69" i="1"/>
  <c r="N220" i="1"/>
  <c r="N194" i="1"/>
  <c r="N130" i="1"/>
  <c r="N294" i="1"/>
  <c r="N38" i="1"/>
  <c r="N250" i="1"/>
  <c r="N211" i="1"/>
  <c r="N238" i="1"/>
  <c r="N126" i="1"/>
  <c r="N232" i="1"/>
  <c r="N162" i="1"/>
  <c r="N210" i="1"/>
  <c r="N5" i="1"/>
  <c r="N78" i="1"/>
  <c r="N111" i="1"/>
  <c r="N240" i="1"/>
  <c r="N152" i="1"/>
  <c r="N161" i="1"/>
  <c r="N291" i="1"/>
  <c r="N73" i="1"/>
  <c r="N157" i="1"/>
  <c r="N99" i="1"/>
  <c r="N103" i="1"/>
  <c r="N32" i="1"/>
  <c r="N230" i="1"/>
  <c r="N58" i="1"/>
  <c r="N267" i="1"/>
  <c r="N295" i="1"/>
  <c r="N81" i="1"/>
  <c r="N66" i="1"/>
  <c r="N225" i="1"/>
  <c r="N222" i="1"/>
  <c r="N236" i="1"/>
  <c r="N124" i="1"/>
  <c r="Q49" i="2"/>
  <c r="Q48" i="2"/>
  <c r="Q47" i="2"/>
  <c r="M42" i="24" l="1"/>
  <c r="N42" i="24" s="1"/>
  <c r="N43" i="24"/>
  <c r="N44" i="24"/>
  <c r="N45" i="24"/>
  <c r="S47" i="2"/>
  <c r="S48" i="2"/>
  <c r="S49" i="2"/>
  <c r="I184" i="2"/>
  <c r="I160" i="2"/>
  <c r="I16" i="2"/>
  <c r="I8" i="2"/>
  <c r="I87" i="2"/>
  <c r="I188" i="2"/>
  <c r="I180" i="2"/>
  <c r="I148" i="2"/>
  <c r="I140" i="2"/>
  <c r="I124" i="2"/>
  <c r="I116" i="2"/>
  <c r="I108" i="2"/>
  <c r="I92" i="2"/>
  <c r="I76" i="2"/>
  <c r="I60" i="2"/>
  <c r="I52" i="2"/>
  <c r="I44" i="2"/>
  <c r="I4" i="2"/>
  <c r="I163" i="2"/>
  <c r="I115" i="2"/>
  <c r="I3" i="2"/>
  <c r="I2" i="2"/>
  <c r="I186" i="2"/>
  <c r="I178" i="2"/>
  <c r="I162" i="2"/>
  <c r="I130" i="2"/>
  <c r="I114" i="2"/>
  <c r="I106" i="2"/>
  <c r="I98" i="2"/>
  <c r="I90" i="2"/>
  <c r="I66" i="2"/>
  <c r="I10" i="2"/>
  <c r="I159" i="2"/>
  <c r="I135" i="2"/>
  <c r="I111" i="2"/>
  <c r="I15" i="2"/>
  <c r="I198" i="2"/>
  <c r="I190" i="2"/>
  <c r="I182" i="2"/>
  <c r="I166" i="2"/>
  <c r="I158" i="2"/>
  <c r="I150" i="2"/>
  <c r="I142" i="2"/>
  <c r="I134" i="2"/>
  <c r="I126" i="2"/>
  <c r="I118" i="2"/>
  <c r="I110" i="2"/>
  <c r="I102" i="2"/>
  <c r="I94" i="2"/>
  <c r="I78" i="2"/>
  <c r="I70" i="2"/>
  <c r="I62" i="2"/>
  <c r="I54" i="2"/>
  <c r="I46" i="2"/>
  <c r="I38" i="2"/>
  <c r="I30" i="2"/>
  <c r="I22" i="2"/>
  <c r="I189" i="2"/>
  <c r="I181" i="2"/>
  <c r="I173" i="2"/>
  <c r="I165" i="2"/>
  <c r="I157" i="2"/>
  <c r="I149" i="2"/>
  <c r="I141" i="2"/>
  <c r="I133" i="2"/>
  <c r="I125" i="2"/>
  <c r="I117" i="2"/>
  <c r="I109" i="2"/>
  <c r="I101" i="2"/>
  <c r="I93" i="2"/>
  <c r="I85" i="2"/>
  <c r="I77" i="2"/>
  <c r="I69" i="2"/>
  <c r="I61" i="2"/>
  <c r="I53" i="2"/>
  <c r="I45" i="2"/>
  <c r="I37" i="2"/>
  <c r="I29" i="2"/>
  <c r="I21" i="2"/>
  <c r="I13" i="2"/>
  <c r="I5" i="2"/>
  <c r="I20" i="2"/>
  <c r="I196" i="2"/>
  <c r="I164" i="2"/>
  <c r="I132" i="2"/>
  <c r="I100" i="2"/>
  <c r="I68" i="2"/>
  <c r="I28" i="2"/>
  <c r="I12" i="2"/>
  <c r="I195" i="2"/>
  <c r="I187" i="2"/>
  <c r="I179" i="2"/>
  <c r="I171" i="2"/>
  <c r="I155" i="2"/>
  <c r="I147" i="2"/>
  <c r="I123" i="2"/>
  <c r="I107" i="2"/>
  <c r="I99" i="2"/>
  <c r="I91" i="2"/>
  <c r="I83" i="2"/>
  <c r="I75" i="2"/>
  <c r="I67" i="2"/>
  <c r="I59" i="2"/>
  <c r="I51" i="2"/>
  <c r="I43" i="2"/>
  <c r="I35" i="2"/>
  <c r="I27" i="2"/>
  <c r="I19" i="2"/>
  <c r="I11" i="2"/>
  <c r="I58" i="2"/>
  <c r="I50" i="2"/>
  <c r="I42" i="2"/>
  <c r="I34" i="2"/>
  <c r="I26" i="2"/>
  <c r="I18" i="2"/>
  <c r="I74" i="2"/>
  <c r="I96" i="2"/>
  <c r="I194" i="2"/>
  <c r="I154" i="2"/>
  <c r="I146" i="2"/>
  <c r="I138" i="2"/>
  <c r="I201" i="2"/>
  <c r="I193" i="2"/>
  <c r="I169" i="2"/>
  <c r="I161" i="2"/>
  <c r="I153" i="2"/>
  <c r="I137" i="2"/>
  <c r="I129" i="2"/>
  <c r="I121" i="2"/>
  <c r="I113" i="2"/>
  <c r="I97" i="2"/>
  <c r="I89" i="2"/>
  <c r="I73" i="2"/>
  <c r="I65" i="2"/>
  <c r="I33" i="2"/>
  <c r="I25" i="2"/>
  <c r="I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902FE3-A906-4CC5-B5DD-0EC9F957B11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80350E8E-DAF6-41A4-983A-BC0B8A4E6248}" keepAlive="1" name="Query - Table1 (2)" description="Connection to the 'Table1 (2)' query in the workbook." type="5" refreshedVersion="0" background="1" saveData="1">
    <dbPr connection="Provider=Microsoft.Mashup.OleDb.1;Data Source=$Workbook$;Location=&quot;Table1 (2)&quot;;Extended Properties=&quot;&quot;" command="SELECT * FROM [Table1 (2)]"/>
  </connection>
  <connection id="3" xr16:uid="{B687D372-20C8-4D5C-9315-434BEC823767}"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<sst xmlns="http://schemas.openxmlformats.org/spreadsheetml/2006/main" count="4036" uniqueCount="498">
  <si>
    <t>Post ID</t>
  </si>
  <si>
    <t>Platform</t>
  </si>
  <si>
    <t>Date</t>
  </si>
  <si>
    <t>Content Type</t>
  </si>
  <si>
    <t>Post Text</t>
  </si>
  <si>
    <t>Likes</t>
  </si>
  <si>
    <t>Shares</t>
  </si>
  <si>
    <t>Comments</t>
  </si>
  <si>
    <t>Impressions</t>
  </si>
  <si>
    <t>Reach</t>
  </si>
  <si>
    <t>Clicks</t>
  </si>
  <si>
    <t>Hashtags Used</t>
  </si>
  <si>
    <t>Campaign_Name</t>
  </si>
  <si>
    <t>SP001</t>
  </si>
  <si>
    <t>Instagram</t>
  </si>
  <si>
    <t>Text</t>
  </si>
  <si>
    <t>Discover fresh beats on Spotify!</t>
  </si>
  <si>
    <t>ChillVibes</t>
  </si>
  <si>
    <t>SP002</t>
  </si>
  <si>
    <t>Explore the latest podcasts now.</t>
  </si>
  <si>
    <t>#DiscoverWeekly</t>
  </si>
  <si>
    <t>IndieWave</t>
  </si>
  <si>
    <t>SP003</t>
  </si>
  <si>
    <t>Twitter</t>
  </si>
  <si>
    <t>Story</t>
  </si>
  <si>
    <t>New music just dropped. Hit play!</t>
  </si>
  <si>
    <t>SP004</t>
  </si>
  <si>
    <t>Wrapped is here! Relive your top tracks ðŸŽ§</t>
  </si>
  <si>
    <t>SP005</t>
  </si>
  <si>
    <t>YouTube</t>
  </si>
  <si>
    <t>Music that moves youâ€”only on Spotify.</t>
  </si>
  <si>
    <t>SP006</t>
  </si>
  <si>
    <t>Whatâ€™s your vibe today? #SpotifyHits</t>
  </si>
  <si>
    <t>SP007</t>
  </si>
  <si>
    <t>Get into the groove with our new drop!</t>
  </si>
  <si>
    <t>SP008</t>
  </si>
  <si>
    <t>SP009</t>
  </si>
  <si>
    <t>Top trending tracks updated daily!</t>
  </si>
  <si>
    <t>#NowPlaying</t>
  </si>
  <si>
    <t>SP010</t>
  </si>
  <si>
    <t>SP011</t>
  </si>
  <si>
    <t>#SoundtrackOfLife</t>
  </si>
  <si>
    <t>SP012</t>
  </si>
  <si>
    <t>SP013</t>
  </si>
  <si>
    <t>SP014</t>
  </si>
  <si>
    <t>From pop to podcasts, itâ€™s all here.</t>
  </si>
  <si>
    <t>SP015</t>
  </si>
  <si>
    <t>Your weekend playlist is waiting.</t>
  </si>
  <si>
    <t>SP016</t>
  </si>
  <si>
    <t>SP017</t>
  </si>
  <si>
    <t>SP018</t>
  </si>
  <si>
    <t>Wrapped2024</t>
  </si>
  <si>
    <t>SP019</t>
  </si>
  <si>
    <t>Reel</t>
  </si>
  <si>
    <t>SummerBeats</t>
  </si>
  <si>
    <t>SP020</t>
  </si>
  <si>
    <t>SP021</t>
  </si>
  <si>
    <t>SP022</t>
  </si>
  <si>
    <t>SP023</t>
  </si>
  <si>
    <t>SP024</t>
  </si>
  <si>
    <t>SP025</t>
  </si>
  <si>
    <t>SP026</t>
  </si>
  <si>
    <t>SP027</t>
  </si>
  <si>
    <t>SP028</t>
  </si>
  <si>
    <t>SP029</t>
  </si>
  <si>
    <t>SP030</t>
  </si>
  <si>
    <t>SP031</t>
  </si>
  <si>
    <t>SP032</t>
  </si>
  <si>
    <t>SP033</t>
  </si>
  <si>
    <t>SP034</t>
  </si>
  <si>
    <t>SP035</t>
  </si>
  <si>
    <t>SP036</t>
  </si>
  <si>
    <t>SP037</t>
  </si>
  <si>
    <t>SP038</t>
  </si>
  <si>
    <t>SP039</t>
  </si>
  <si>
    <t>SP040</t>
  </si>
  <si>
    <t>SP041</t>
  </si>
  <si>
    <t>SP042</t>
  </si>
  <si>
    <t>SP043</t>
  </si>
  <si>
    <t>SP044</t>
  </si>
  <si>
    <t>SP045</t>
  </si>
  <si>
    <t>SP046</t>
  </si>
  <si>
    <t>SP047</t>
  </si>
  <si>
    <t>SP048</t>
  </si>
  <si>
    <t>SP049</t>
  </si>
  <si>
    <t>SP050</t>
  </si>
  <si>
    <t>SP051</t>
  </si>
  <si>
    <t>SP052</t>
  </si>
  <si>
    <t>SP053</t>
  </si>
  <si>
    <t>SP054</t>
  </si>
  <si>
    <t>SP055</t>
  </si>
  <si>
    <t>SP056</t>
  </si>
  <si>
    <t>SP057</t>
  </si>
  <si>
    <t>SP058</t>
  </si>
  <si>
    <t>SP059</t>
  </si>
  <si>
    <t>SP060</t>
  </si>
  <si>
    <t>SP061</t>
  </si>
  <si>
    <t>SP062</t>
  </si>
  <si>
    <t>SP063</t>
  </si>
  <si>
    <t>SP064</t>
  </si>
  <si>
    <t>SP065</t>
  </si>
  <si>
    <t>SP066</t>
  </si>
  <si>
    <t>SP067</t>
  </si>
  <si>
    <t>SP068</t>
  </si>
  <si>
    <t>SP069</t>
  </si>
  <si>
    <t>SP070</t>
  </si>
  <si>
    <t>SP071</t>
  </si>
  <si>
    <t>SP072</t>
  </si>
  <si>
    <t>SP073</t>
  </si>
  <si>
    <t>SP074</t>
  </si>
  <si>
    <t>SP075</t>
  </si>
  <si>
    <t>SP076</t>
  </si>
  <si>
    <t>SP077</t>
  </si>
  <si>
    <t>SP078</t>
  </si>
  <si>
    <t>SP079</t>
  </si>
  <si>
    <t>SP080</t>
  </si>
  <si>
    <t>SP081</t>
  </si>
  <si>
    <t>SP082</t>
  </si>
  <si>
    <t>SP083</t>
  </si>
  <si>
    <t>SP084</t>
  </si>
  <si>
    <t>SP085</t>
  </si>
  <si>
    <t>SP086</t>
  </si>
  <si>
    <t>SP087</t>
  </si>
  <si>
    <t>SP088</t>
  </si>
  <si>
    <t>SP089</t>
  </si>
  <si>
    <t>SP090</t>
  </si>
  <si>
    <t>SP091</t>
  </si>
  <si>
    <t>SP092</t>
  </si>
  <si>
    <t>SP093</t>
  </si>
  <si>
    <t>SP094</t>
  </si>
  <si>
    <t>SP095</t>
  </si>
  <si>
    <t>SP096</t>
  </si>
  <si>
    <t>SP097</t>
  </si>
  <si>
    <t>SP098</t>
  </si>
  <si>
    <t>SP099</t>
  </si>
  <si>
    <t>SP100</t>
  </si>
  <si>
    <t>SP101</t>
  </si>
  <si>
    <t>SP102</t>
  </si>
  <si>
    <t>SP103</t>
  </si>
  <si>
    <t>SP104</t>
  </si>
  <si>
    <t>SP105</t>
  </si>
  <si>
    <t>SP106</t>
  </si>
  <si>
    <t>SP107</t>
  </si>
  <si>
    <t>SP108</t>
  </si>
  <si>
    <t>SP109</t>
  </si>
  <si>
    <t>SP110</t>
  </si>
  <si>
    <t>SP111</t>
  </si>
  <si>
    <t>SP112</t>
  </si>
  <si>
    <t>SP113</t>
  </si>
  <si>
    <t>SP114</t>
  </si>
  <si>
    <t>SP115</t>
  </si>
  <si>
    <t>SP116</t>
  </si>
  <si>
    <t>SP117</t>
  </si>
  <si>
    <t>SP118</t>
  </si>
  <si>
    <t>SP119</t>
  </si>
  <si>
    <t>SP120</t>
  </si>
  <si>
    <t>SP121</t>
  </si>
  <si>
    <t>SP122</t>
  </si>
  <si>
    <t>SP123</t>
  </si>
  <si>
    <t>SP124</t>
  </si>
  <si>
    <t>SP125</t>
  </si>
  <si>
    <t>SP126</t>
  </si>
  <si>
    <t>SP127</t>
  </si>
  <si>
    <t>SP128</t>
  </si>
  <si>
    <t>SP129</t>
  </si>
  <si>
    <t>SP130</t>
  </si>
  <si>
    <t>SP131</t>
  </si>
  <si>
    <t>SP132</t>
  </si>
  <si>
    <t>SP133</t>
  </si>
  <si>
    <t>SP134</t>
  </si>
  <si>
    <t>SP135</t>
  </si>
  <si>
    <t>SP136</t>
  </si>
  <si>
    <t>SP137</t>
  </si>
  <si>
    <t>SP138</t>
  </si>
  <si>
    <t>SP139</t>
  </si>
  <si>
    <t>SP140</t>
  </si>
  <si>
    <t>SP141</t>
  </si>
  <si>
    <t>SP142</t>
  </si>
  <si>
    <t>SP143</t>
  </si>
  <si>
    <t>SP144</t>
  </si>
  <si>
    <t>SP145</t>
  </si>
  <si>
    <t>SP146</t>
  </si>
  <si>
    <t>SP147</t>
  </si>
  <si>
    <t>SP148</t>
  </si>
  <si>
    <t>SP149</t>
  </si>
  <si>
    <t>SP150</t>
  </si>
  <si>
    <t>SP151</t>
  </si>
  <si>
    <t>SP152</t>
  </si>
  <si>
    <t>SP153</t>
  </si>
  <si>
    <t>SP154</t>
  </si>
  <si>
    <t>SP155</t>
  </si>
  <si>
    <t>SP156</t>
  </si>
  <si>
    <t>SP157</t>
  </si>
  <si>
    <t>SP158</t>
  </si>
  <si>
    <t>SP159</t>
  </si>
  <si>
    <t>SP160</t>
  </si>
  <si>
    <t>SP161</t>
  </si>
  <si>
    <t>SP162</t>
  </si>
  <si>
    <t>SP163</t>
  </si>
  <si>
    <t>SP164</t>
  </si>
  <si>
    <t>SP165</t>
  </si>
  <si>
    <t>SP166</t>
  </si>
  <si>
    <t>SP167</t>
  </si>
  <si>
    <t>SP168</t>
  </si>
  <si>
    <t>SP169</t>
  </si>
  <si>
    <t>SP170</t>
  </si>
  <si>
    <t>SP171</t>
  </si>
  <si>
    <t>SP172</t>
  </si>
  <si>
    <t>SP173</t>
  </si>
  <si>
    <t>SP174</t>
  </si>
  <si>
    <t>SP175</t>
  </si>
  <si>
    <t>SP176</t>
  </si>
  <si>
    <t>SP177</t>
  </si>
  <si>
    <t>SP178</t>
  </si>
  <si>
    <t>SP179</t>
  </si>
  <si>
    <t>SP180</t>
  </si>
  <si>
    <t>SP181</t>
  </si>
  <si>
    <t>SP182</t>
  </si>
  <si>
    <t>SP183</t>
  </si>
  <si>
    <t>SP184</t>
  </si>
  <si>
    <t>SP185</t>
  </si>
  <si>
    <t>SP186</t>
  </si>
  <si>
    <t>SP187</t>
  </si>
  <si>
    <t>SP188</t>
  </si>
  <si>
    <t>SP189</t>
  </si>
  <si>
    <t>SP190</t>
  </si>
  <si>
    <t>SP191</t>
  </si>
  <si>
    <t>SP192</t>
  </si>
  <si>
    <t>SP193</t>
  </si>
  <si>
    <t>SP194</t>
  </si>
  <si>
    <t>SP195</t>
  </si>
  <si>
    <t>SP196</t>
  </si>
  <si>
    <t>SP197</t>
  </si>
  <si>
    <t>SP198</t>
  </si>
  <si>
    <t>SP199</t>
  </si>
  <si>
    <t>SP200</t>
  </si>
  <si>
    <t>SP201</t>
  </si>
  <si>
    <t>SP202</t>
  </si>
  <si>
    <t>SP203</t>
  </si>
  <si>
    <t>SP204</t>
  </si>
  <si>
    <t>SP205</t>
  </si>
  <si>
    <t>SP206</t>
  </si>
  <si>
    <t>SP207</t>
  </si>
  <si>
    <t>SP208</t>
  </si>
  <si>
    <t>SP209</t>
  </si>
  <si>
    <t>SP210</t>
  </si>
  <si>
    <t>SP211</t>
  </si>
  <si>
    <t>SP212</t>
  </si>
  <si>
    <t>SP213</t>
  </si>
  <si>
    <t>SP214</t>
  </si>
  <si>
    <t>SP215</t>
  </si>
  <si>
    <t>SP216</t>
  </si>
  <si>
    <t>SP217</t>
  </si>
  <si>
    <t>SP218</t>
  </si>
  <si>
    <t>SP219</t>
  </si>
  <si>
    <t>SP220</t>
  </si>
  <si>
    <t>SP221</t>
  </si>
  <si>
    <t>SP222</t>
  </si>
  <si>
    <t>SP223</t>
  </si>
  <si>
    <t>SP224</t>
  </si>
  <si>
    <t>SP225</t>
  </si>
  <si>
    <t>SP226</t>
  </si>
  <si>
    <t>SP227</t>
  </si>
  <si>
    <t>SP228</t>
  </si>
  <si>
    <t>SP229</t>
  </si>
  <si>
    <t>SP230</t>
  </si>
  <si>
    <t>SP231</t>
  </si>
  <si>
    <t>SP232</t>
  </si>
  <si>
    <t>SP233</t>
  </si>
  <si>
    <t>SP234</t>
  </si>
  <si>
    <t>SP235</t>
  </si>
  <si>
    <t>SP236</t>
  </si>
  <si>
    <t>SP237</t>
  </si>
  <si>
    <t>SP238</t>
  </si>
  <si>
    <t>SP239</t>
  </si>
  <si>
    <t>SP240</t>
  </si>
  <si>
    <t>SP241</t>
  </si>
  <si>
    <t>SP242</t>
  </si>
  <si>
    <t>SP243</t>
  </si>
  <si>
    <t>SP244</t>
  </si>
  <si>
    <t>SP245</t>
  </si>
  <si>
    <t>SP246</t>
  </si>
  <si>
    <t>SP247</t>
  </si>
  <si>
    <t>SP248</t>
  </si>
  <si>
    <t>SP249</t>
  </si>
  <si>
    <t>SP250</t>
  </si>
  <si>
    <t>SP251</t>
  </si>
  <si>
    <t>SP252</t>
  </si>
  <si>
    <t>SP253</t>
  </si>
  <si>
    <t>SP254</t>
  </si>
  <si>
    <t>SP255</t>
  </si>
  <si>
    <t>SP256</t>
  </si>
  <si>
    <t>SP257</t>
  </si>
  <si>
    <t>SP258</t>
  </si>
  <si>
    <t>SP259</t>
  </si>
  <si>
    <t>SP260</t>
  </si>
  <si>
    <t>SP261</t>
  </si>
  <si>
    <t>SP262</t>
  </si>
  <si>
    <t>SP263</t>
  </si>
  <si>
    <t>SP264</t>
  </si>
  <si>
    <t>SP265</t>
  </si>
  <si>
    <t>SP266</t>
  </si>
  <si>
    <t>SP267</t>
  </si>
  <si>
    <t>SP268</t>
  </si>
  <si>
    <t>SP269</t>
  </si>
  <si>
    <t>SP270</t>
  </si>
  <si>
    <t>SP271</t>
  </si>
  <si>
    <t>SP272</t>
  </si>
  <si>
    <t>SP273</t>
  </si>
  <si>
    <t>SP274</t>
  </si>
  <si>
    <t>SP275</t>
  </si>
  <si>
    <t>SP276</t>
  </si>
  <si>
    <t>SP277</t>
  </si>
  <si>
    <t>SP278</t>
  </si>
  <si>
    <t>SP279</t>
  </si>
  <si>
    <t>SP280</t>
  </si>
  <si>
    <t>SP281</t>
  </si>
  <si>
    <t>SP282</t>
  </si>
  <si>
    <t>SP283</t>
  </si>
  <si>
    <t>SP284</t>
  </si>
  <si>
    <t>SP285</t>
  </si>
  <si>
    <t>SP286</t>
  </si>
  <si>
    <t>SP287</t>
  </si>
  <si>
    <t>SP288</t>
  </si>
  <si>
    <t>SP289</t>
  </si>
  <si>
    <t>SP290</t>
  </si>
  <si>
    <t>SP291</t>
  </si>
  <si>
    <t>SP292</t>
  </si>
  <si>
    <t>SP293</t>
  </si>
  <si>
    <t>SP294</t>
  </si>
  <si>
    <t>SP295</t>
  </si>
  <si>
    <t>SP296</t>
  </si>
  <si>
    <t>SP297</t>
  </si>
  <si>
    <t>SP298</t>
  </si>
  <si>
    <t>SP299</t>
  </si>
  <si>
    <t>SP300</t>
  </si>
  <si>
    <t>Week_Start_Date</t>
  </si>
  <si>
    <t>New_Followers</t>
  </si>
  <si>
    <t>Unfollows</t>
  </si>
  <si>
    <t>Total_Followers</t>
  </si>
  <si>
    <t>Engagement_Rate</t>
  </si>
  <si>
    <t>Ad_Spend</t>
  </si>
  <si>
    <t>Start_Date</t>
  </si>
  <si>
    <t>End_Date</t>
  </si>
  <si>
    <t>Objective</t>
  </si>
  <si>
    <t>Total_Budget</t>
  </si>
  <si>
    <t>Target_Platforms</t>
  </si>
  <si>
    <t>Primary_Hashtags</t>
  </si>
  <si>
    <t>2024-06-15</t>
  </si>
  <si>
    <t>2024-07-15</t>
  </si>
  <si>
    <t>Brand Awareness</t>
  </si>
  <si>
    <t>Instagram,YouTube</t>
  </si>
  <si>
    <t>#SpotifyWrapped,#MusicForEveryone</t>
  </si>
  <si>
    <t>2024-12-01</t>
  </si>
  <si>
    <t>2024-12-31</t>
  </si>
  <si>
    <t>Engagement</t>
  </si>
  <si>
    <t>Twitter,YouTube</t>
  </si>
  <si>
    <t>#SpotifyWrapped,#NowPlaying</t>
  </si>
  <si>
    <t>2025-01-10</t>
  </si>
  <si>
    <t>2025-02-10</t>
  </si>
  <si>
    <t>Product Launch</t>
  </si>
  <si>
    <t>Instagram,Twitter</t>
  </si>
  <si>
    <t>#ChillVibes,#SoundtrackOfLife</t>
  </si>
  <si>
    <t>2025-03-01</t>
  </si>
  <si>
    <t>2025-03-31</t>
  </si>
  <si>
    <t>Traffic</t>
  </si>
  <si>
    <t>Facebook,Instagram</t>
  </si>
  <si>
    <t>#DiscoverWeekly,#IndieWave</t>
  </si>
  <si>
    <t>#MusicForEveryone</t>
  </si>
  <si>
    <t>#SpotifyWrapped</t>
  </si>
  <si>
    <t>Row Labels</t>
  </si>
  <si>
    <t>Grand Total</t>
  </si>
  <si>
    <t>Engaement Rate</t>
  </si>
  <si>
    <t>Sum of Likes</t>
  </si>
  <si>
    <t>Sum of Shares</t>
  </si>
  <si>
    <t>Sum of Comments</t>
  </si>
  <si>
    <t>Instagram Total</t>
  </si>
  <si>
    <t>Twitter Total</t>
  </si>
  <si>
    <t>YouTube Total</t>
  </si>
  <si>
    <t>Average of Clicks</t>
  </si>
  <si>
    <t>Rank_Hashtag</t>
  </si>
  <si>
    <t>Sum of Impressions</t>
  </si>
  <si>
    <t>Sum of Plateform Engagement rate</t>
  </si>
  <si>
    <t>Net_Growth</t>
  </si>
  <si>
    <t>Growth_Rate</t>
  </si>
  <si>
    <t>Average of Growth_Rate</t>
  </si>
  <si>
    <t>Average of Plateform Engagement rate</t>
  </si>
  <si>
    <t>Total Interactions</t>
  </si>
  <si>
    <t>Interactions per Dollar</t>
  </si>
  <si>
    <t>Sum of Ad_Spend</t>
  </si>
  <si>
    <t>Total Ad Spend</t>
  </si>
  <si>
    <t>Total Engagement</t>
  </si>
  <si>
    <t>Average of Total Engagement</t>
  </si>
  <si>
    <t>Average of Platform Engagement Rate</t>
  </si>
  <si>
    <t>Count of Post ID</t>
  </si>
  <si>
    <t>Column Labels</t>
  </si>
  <si>
    <t>Total Sum of Likes</t>
  </si>
  <si>
    <t>Total Sum of Shares</t>
  </si>
  <si>
    <t>Total Sum of Comments</t>
  </si>
  <si>
    <t>Total Engagement Score</t>
  </si>
  <si>
    <t>Count of Hashtags Used</t>
  </si>
  <si>
    <t>Engagement Rate</t>
  </si>
  <si>
    <t>Average Impressions</t>
  </si>
  <si>
    <t>Average Likes</t>
  </si>
  <si>
    <t>Average Clicks</t>
  </si>
  <si>
    <t>Total Impressions</t>
  </si>
  <si>
    <t>Total Clicks</t>
  </si>
  <si>
    <t>Total Likes</t>
  </si>
  <si>
    <t xml:space="preserve">Campaign Status </t>
  </si>
  <si>
    <t>Before</t>
  </si>
  <si>
    <t>During</t>
  </si>
  <si>
    <t>Engement Increased BY</t>
  </si>
  <si>
    <t>Avg Engagement Rate</t>
  </si>
  <si>
    <t>Campaign</t>
  </si>
  <si>
    <t>Sum of Total Engagement</t>
  </si>
  <si>
    <t>Sum of Total_Budget</t>
  </si>
  <si>
    <t>ROI</t>
  </si>
  <si>
    <t>Total Budget</t>
  </si>
  <si>
    <t>Top Rank</t>
  </si>
  <si>
    <t>1/1/2024 - 1/7/2024</t>
  </si>
  <si>
    <t>1/8/2024 - 1/14/2024</t>
  </si>
  <si>
    <t>1/15/2024 - 1/21/2024</t>
  </si>
  <si>
    <t>1/22/2024 - 1/28/2024</t>
  </si>
  <si>
    <t>1/29/2024 - 2/4/2024</t>
  </si>
  <si>
    <t>2/5/2024 - 2/11/2024</t>
  </si>
  <si>
    <t>2/12/2024 - 2/18/2024</t>
  </si>
  <si>
    <t>2/19/2024 - 2/25/2024</t>
  </si>
  <si>
    <t>2/26/2024 - 3/3/2024</t>
  </si>
  <si>
    <t>3/4/2024 - 3/10/2024</t>
  </si>
  <si>
    <t>3/11/2024 - 3/17/2024</t>
  </si>
  <si>
    <t>3/18/2024 - 3/24/2024</t>
  </si>
  <si>
    <t>3/25/2024 - 3/31/2024</t>
  </si>
  <si>
    <t>4/1/2024 - 4/7/2024</t>
  </si>
  <si>
    <t>4/8/2024 - 4/14/2024</t>
  </si>
  <si>
    <t>4/15/2024 - 4/21/2024</t>
  </si>
  <si>
    <t>4/22/2024 - 4/28/2024</t>
  </si>
  <si>
    <t>4/29/2024 - 5/5/2024</t>
  </si>
  <si>
    <t>5/6/2024 - 5/12/2024</t>
  </si>
  <si>
    <t>5/13/2024 - 5/19/2024</t>
  </si>
  <si>
    <t>5/20/2024 - 5/26/2024</t>
  </si>
  <si>
    <t>5/27/2024 - 6/2/2024</t>
  </si>
  <si>
    <t>6/3/2024 - 6/9/2024</t>
  </si>
  <si>
    <t>6/10/2024 - 6/16/2024</t>
  </si>
  <si>
    <t>6/17/2024 - 6/23/2024</t>
  </si>
  <si>
    <t>6/24/2024 - 6/30/2024</t>
  </si>
  <si>
    <t>7/1/2024 - 7/7/2024</t>
  </si>
  <si>
    <t>7/8/2024 - 7/14/2024</t>
  </si>
  <si>
    <t>7/15/2024 - 7/21/2024</t>
  </si>
  <si>
    <t>7/22/2024 - 7/28/2024</t>
  </si>
  <si>
    <t>7/29/2024 - 8/4/2024</t>
  </si>
  <si>
    <t>8/5/2024 - 8/11/2024</t>
  </si>
  <si>
    <t>8/12/2024 - 8/18/2024</t>
  </si>
  <si>
    <t>8/19/2024 - 8/25/2024</t>
  </si>
  <si>
    <t>8/26/2024 - 9/1/2024</t>
  </si>
  <si>
    <t>9/2/2024 - 9/8/2024</t>
  </si>
  <si>
    <t>9/9/2024 - 9/15/2024</t>
  </si>
  <si>
    <t>9/16/2024 - 9/22/2024</t>
  </si>
  <si>
    <t>9/23/2024 - 9/29/2024</t>
  </si>
  <si>
    <t>9/30/2024 - 10/6/2024</t>
  </si>
  <si>
    <t>10/7/2024 - 10/13/2024</t>
  </si>
  <si>
    <t>10/14/2024 - 10/20/2024</t>
  </si>
  <si>
    <t>10/21/2024 - 10/27/2024</t>
  </si>
  <si>
    <t>10/28/2024 - 11/3/2024</t>
  </si>
  <si>
    <t>11/4/2024 - 11/10/2024</t>
  </si>
  <si>
    <t>11/11/2024 - 11/17/2024</t>
  </si>
  <si>
    <t>11/18/2024 - 11/24/2024</t>
  </si>
  <si>
    <t>11/25/2024 - 12/1/2024</t>
  </si>
  <si>
    <t>12/2/2024 - 12/8/2024</t>
  </si>
  <si>
    <t>12/9/2024 - 12/15/2024</t>
  </si>
  <si>
    <t>12/16/2024 - 12/22/2024</t>
  </si>
  <si>
    <t>12/23/2024 - 12/29/2024</t>
  </si>
  <si>
    <t>12/30/2024 - 1/5/2025</t>
  </si>
  <si>
    <t>1/6/2025 - 1/12/2025</t>
  </si>
  <si>
    <t>1/13/2025 - 1/19/2025</t>
  </si>
  <si>
    <t>1/20/2025 - 1/26/2025</t>
  </si>
  <si>
    <t>1/27/2025 - 2/2/2025</t>
  </si>
  <si>
    <t>2/3/2025 - 2/9/2025</t>
  </si>
  <si>
    <t>2/10/2025 - 2/16/2025</t>
  </si>
  <si>
    <t>2/17/2025 - 2/23/2025</t>
  </si>
  <si>
    <t>2/24/2025 - 3/2/2025</t>
  </si>
  <si>
    <t>3/3/2025 - 3/9/2025</t>
  </si>
  <si>
    <t>3/17/2025 - 3/23/2025</t>
  </si>
  <si>
    <t>3/31/2025 - 4/6/2025</t>
  </si>
  <si>
    <t>4/7/2025 - 4/13/2025</t>
  </si>
  <si>
    <t>4/14/2025 - 4/20/2025</t>
  </si>
  <si>
    <t>4/21/2025 - 4/27/2025</t>
  </si>
  <si>
    <t>4/28/2025 - 5/4/2025</t>
  </si>
  <si>
    <t>5/5/2025 - 5/11/2025</t>
  </si>
  <si>
    <t>5/12/2025 - 5/18/2025</t>
  </si>
  <si>
    <t>5/19/2025 - 5/25/2025</t>
  </si>
  <si>
    <t>5/26/2025 - 6/1/2025</t>
  </si>
  <si>
    <t>6/2/2025 - 6/8/2025</t>
  </si>
  <si>
    <t>6/9/2025 - 6/15/2025</t>
  </si>
  <si>
    <t>6/16/2025 - 6/22/2025</t>
  </si>
  <si>
    <t>6/23/2025 - 6/29/2025</t>
  </si>
  <si>
    <t>6/30/2025 - 7/2/2025</t>
  </si>
  <si>
    <t>Average of Engagement Rate</t>
  </si>
  <si>
    <t>Seprrated # tags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</si>
</sst>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yyyy\-mm\-dd"/>
    <numFmt numFmtId="165" formatCode="[$-409]d\-mmm\-yy;@"/>
    <numFmt numFmtId="166" formatCode="_(&quot;$&quot;* #,##0_);_(&quot;$&quot;* \(#,##0\);_(&quot;$&quot;* &quot;-&quot;??_);_(@_)"/>
    <numFmt numFmtId="167" formatCode="0.0000000000000000%"/>
    <numFmt numFmtId="168" formatCode="0.000"/>
  </numFmts>
  <fonts count="1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quot;Aptos Narrow&quot;"/>
    </font>
    <font>
      <b/>
      <sz val="11"/>
      <color theme="1"/>
      <name val="Calibri"/>
    </font>
    <font>
      <sz val="11"/>
      <color theme="1"/>
      <name val="Calibri"/>
      <scheme val="minor"/>
    </font>
    <font>
      <b/>
      <sz val="11"/>
      <color theme="1"/>
      <name val="Calibri"/>
      <family val="2"/>
      <scheme val="minor"/>
    </font>
    <font>
      <i/>
      <sz val="11"/>
      <color theme="1"/>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6" tint="0.59999389629810485"/>
        <bgColor indexed="64"/>
      </patternFill>
    </fill>
    <fill>
      <patternFill patternType="solid">
        <fgColor theme="0"/>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8" tint="0.79998168889431442"/>
        <bgColor indexed="64"/>
      </patternFill>
    </fill>
    <fill>
      <patternFill patternType="solid">
        <fgColor theme="4"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3">
    <xf numFmtId="0" fontId="0" fillId="0" borderId="0"/>
    <xf numFmtId="44" fontId="9" fillId="0" borderId="0" applyFont="0" applyFill="0" applyBorder="0" applyAlignment="0" applyProtection="0"/>
    <xf numFmtId="9" fontId="9" fillId="0" borderId="0" applyFont="0" applyFill="0" applyBorder="0" applyAlignment="0" applyProtection="0"/>
  </cellStyleXfs>
  <cellXfs count="67">
    <xf numFmtId="0" fontId="0" fillId="0" borderId="0" xfId="0"/>
    <xf numFmtId="0" fontId="0" fillId="0" borderId="0" xfId="0" applyAlignment="1">
      <alignment horizontal="center"/>
    </xf>
    <xf numFmtId="0" fontId="0" fillId="0" borderId="0" xfId="0" applyAlignment="1">
      <alignment horizontal="center" vertical="center"/>
    </xf>
    <xf numFmtId="165" fontId="0" fillId="0" borderId="0" xfId="0" applyNumberFormat="1" applyAlignment="1">
      <alignment horizontal="center" vertical="center"/>
    </xf>
    <xf numFmtId="9" fontId="0" fillId="0" borderId="0" xfId="2" applyFont="1" applyAlignment="1">
      <alignment horizontal="center" vertical="center"/>
    </xf>
    <xf numFmtId="0" fontId="0" fillId="2" borderId="0" xfId="0" applyFill="1"/>
    <xf numFmtId="0" fontId="0" fillId="2" borderId="1" xfId="0" applyFill="1" applyBorder="1" applyAlignment="1">
      <alignment horizontal="left"/>
    </xf>
    <xf numFmtId="0" fontId="0" fillId="2" borderId="1" xfId="0" applyFill="1" applyBorder="1"/>
    <xf numFmtId="2" fontId="0" fillId="2" borderId="1" xfId="0" applyNumberFormat="1" applyFill="1" applyBorder="1"/>
    <xf numFmtId="9" fontId="0" fillId="2" borderId="1" xfId="0" applyNumberFormat="1" applyFill="1" applyBorder="1"/>
    <xf numFmtId="0" fontId="7" fillId="3" borderId="1" xfId="0" applyFont="1" applyFill="1" applyBorder="1" applyAlignment="1">
      <alignment horizontal="center"/>
    </xf>
    <xf numFmtId="164" fontId="7" fillId="0" borderId="1" xfId="0" applyNumberFormat="1" applyFont="1" applyBorder="1" applyAlignment="1">
      <alignment horizontal="center"/>
    </xf>
    <xf numFmtId="0" fontId="7" fillId="0" borderId="1" xfId="0" applyFont="1" applyBorder="1" applyAlignment="1">
      <alignment horizontal="center"/>
    </xf>
    <xf numFmtId="14" fontId="7" fillId="0" borderId="1" xfId="0" applyNumberFormat="1" applyFont="1" applyBorder="1" applyAlignment="1">
      <alignment horizontal="center"/>
    </xf>
    <xf numFmtId="0" fontId="0" fillId="0" borderId="1" xfId="0" pivotButton="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0" fontId="0" fillId="0" borderId="0" xfId="0" applyNumberFormat="1" applyAlignment="1">
      <alignment horizontal="center"/>
    </xf>
    <xf numFmtId="0" fontId="0" fillId="4" borderId="0" xfId="0" applyFill="1" applyAlignment="1">
      <alignment horizontal="center"/>
    </xf>
    <xf numFmtId="0" fontId="6" fillId="0" borderId="0" xfId="0" applyFont="1" applyAlignment="1">
      <alignment horizontal="center"/>
    </xf>
    <xf numFmtId="44" fontId="0" fillId="0" borderId="0" xfId="1" applyFont="1"/>
    <xf numFmtId="0" fontId="0" fillId="0" borderId="0" xfId="0" pivotButton="1"/>
    <xf numFmtId="0" fontId="0" fillId="0" borderId="0" xfId="0" applyAlignment="1">
      <alignment horizontal="left"/>
    </xf>
    <xf numFmtId="166" fontId="0" fillId="0" borderId="0" xfId="0" applyNumberFormat="1"/>
    <xf numFmtId="166" fontId="0" fillId="0" borderId="1" xfId="0" applyNumberFormat="1" applyBorder="1"/>
    <xf numFmtId="44" fontId="0" fillId="0" borderId="1" xfId="0" applyNumberFormat="1" applyBorder="1" applyAlignment="1">
      <alignment horizontal="center"/>
    </xf>
    <xf numFmtId="0" fontId="10" fillId="7" borderId="1" xfId="0" applyFont="1" applyFill="1" applyBorder="1" applyAlignment="1">
      <alignment horizontal="center"/>
    </xf>
    <xf numFmtId="0" fontId="0" fillId="5" borderId="1" xfId="0" applyFill="1" applyBorder="1" applyAlignment="1">
      <alignment horizontal="center"/>
    </xf>
    <xf numFmtId="10" fontId="0" fillId="6" borderId="1" xfId="2" applyNumberFormat="1" applyFont="1" applyFill="1" applyBorder="1" applyAlignment="1">
      <alignment horizontal="center"/>
    </xf>
    <xf numFmtId="0" fontId="5" fillId="0" borderId="0" xfId="0" applyFont="1"/>
    <xf numFmtId="0" fontId="0" fillId="0" borderId="1" xfId="0" applyBorder="1"/>
    <xf numFmtId="0" fontId="7" fillId="0" borderId="1" xfId="0" applyFont="1" applyBorder="1" applyAlignment="1">
      <alignment horizontal="center" vertical="center"/>
    </xf>
    <xf numFmtId="165" fontId="7" fillId="0" borderId="1" xfId="0" applyNumberFormat="1" applyFont="1" applyBorder="1" applyAlignment="1">
      <alignment horizontal="center" vertical="center"/>
    </xf>
    <xf numFmtId="9" fontId="7" fillId="0" borderId="1" xfId="2" applyFont="1" applyBorder="1" applyAlignment="1">
      <alignment horizontal="center" vertical="center"/>
    </xf>
    <xf numFmtId="0" fontId="7" fillId="8" borderId="0" xfId="0" applyFont="1" applyFill="1" applyAlignment="1">
      <alignment horizontal="center" vertical="center"/>
    </xf>
    <xf numFmtId="165" fontId="7" fillId="8" borderId="0" xfId="0" applyNumberFormat="1" applyFont="1" applyFill="1" applyAlignment="1">
      <alignment horizontal="center" vertical="center"/>
    </xf>
    <xf numFmtId="9" fontId="7" fillId="8" borderId="0" xfId="2" applyFont="1" applyFill="1" applyAlignment="1">
      <alignment horizontal="center" vertical="center"/>
    </xf>
    <xf numFmtId="0" fontId="4" fillId="0" borderId="1" xfId="0" applyFont="1" applyBorder="1"/>
    <xf numFmtId="10" fontId="0" fillId="0" borderId="2" xfId="2" applyNumberFormat="1" applyFont="1" applyBorder="1"/>
    <xf numFmtId="10" fontId="0" fillId="0" borderId="1" xfId="2" applyNumberFormat="1" applyFont="1" applyBorder="1"/>
    <xf numFmtId="0" fontId="0" fillId="0" borderId="1" xfId="0" pivotButton="1" applyBorder="1"/>
    <xf numFmtId="0" fontId="0" fillId="0" borderId="1" xfId="0" applyBorder="1" applyAlignment="1">
      <alignment horizontal="left"/>
    </xf>
    <xf numFmtId="0" fontId="0" fillId="0" borderId="1" xfId="0" applyBorder="1" applyAlignment="1">
      <alignment horizontal="left" indent="1"/>
    </xf>
    <xf numFmtId="10" fontId="0" fillId="0" borderId="1" xfId="0" applyNumberFormat="1" applyBorder="1"/>
    <xf numFmtId="165" fontId="0" fillId="0" borderId="1" xfId="0" applyNumberFormat="1" applyBorder="1"/>
    <xf numFmtId="10" fontId="0" fillId="0" borderId="0" xfId="0" applyNumberFormat="1"/>
    <xf numFmtId="0" fontId="0" fillId="0" borderId="3" xfId="0" applyBorder="1"/>
    <xf numFmtId="10" fontId="3" fillId="10" borderId="1" xfId="0" applyNumberFormat="1" applyFont="1" applyFill="1" applyBorder="1" applyAlignment="1">
      <alignment horizontal="center"/>
    </xf>
    <xf numFmtId="167" fontId="0" fillId="0" borderId="0" xfId="0" applyNumberFormat="1"/>
    <xf numFmtId="0" fontId="2" fillId="0" borderId="0" xfId="0" applyFont="1"/>
    <xf numFmtId="0" fontId="0" fillId="9" borderId="0" xfId="0" applyFill="1"/>
    <xf numFmtId="10" fontId="0" fillId="9" borderId="0" xfId="2" applyNumberFormat="1" applyFont="1" applyFill="1"/>
    <xf numFmtId="0" fontId="8" fillId="0" borderId="1" xfId="0" applyFont="1" applyBorder="1" applyAlignment="1">
      <alignment horizontal="center" vertical="top"/>
    </xf>
    <xf numFmtId="0" fontId="9" fillId="0" borderId="1" xfId="0" applyFont="1" applyBorder="1"/>
    <xf numFmtId="0" fontId="0" fillId="0" borderId="1" xfId="0" applyBorder="1" applyAlignment="1">
      <alignment horizontal="center" vertical="center"/>
    </xf>
    <xf numFmtId="2" fontId="0" fillId="0" borderId="1" xfId="0" applyNumberFormat="1" applyBorder="1" applyAlignment="1">
      <alignment horizontal="center" vertical="center"/>
    </xf>
    <xf numFmtId="0" fontId="10" fillId="11" borderId="1" xfId="0" applyFont="1" applyFill="1" applyBorder="1" applyAlignment="1">
      <alignment horizontal="center" vertical="center" wrapText="1"/>
    </xf>
    <xf numFmtId="0" fontId="10" fillId="11" borderId="1" xfId="0" applyFont="1" applyFill="1" applyBorder="1" applyAlignment="1">
      <alignment horizontal="center" vertical="center"/>
    </xf>
    <xf numFmtId="0" fontId="10" fillId="0" borderId="1" xfId="0" pivotButton="1" applyFont="1" applyBorder="1"/>
    <xf numFmtId="0" fontId="10" fillId="0" borderId="1" xfId="0" applyFont="1" applyBorder="1"/>
    <xf numFmtId="0" fontId="10" fillId="0" borderId="1" xfId="0" applyFont="1" applyBorder="1" applyAlignment="1">
      <alignment horizontal="left"/>
    </xf>
    <xf numFmtId="0" fontId="1" fillId="12" borderId="1" xfId="0" applyFont="1" applyFill="1" applyBorder="1"/>
    <xf numFmtId="0" fontId="11" fillId="0" borderId="1" xfId="0" applyFont="1" applyBorder="1" applyAlignment="1">
      <alignment horizontal="center" vertical="center"/>
    </xf>
    <xf numFmtId="168" fontId="0" fillId="2" borderId="1" xfId="0" applyNumberFormat="1" applyFill="1" applyBorder="1"/>
    <xf numFmtId="168" fontId="0" fillId="0" borderId="0" xfId="0" applyNumberFormat="1"/>
    <xf numFmtId="2" fontId="0" fillId="0" borderId="0" xfId="0" applyNumberFormat="1"/>
    <xf numFmtId="0" fontId="4" fillId="9" borderId="1" xfId="0" applyFont="1" applyFill="1" applyBorder="1" applyAlignment="1">
      <alignment horizontal="center"/>
    </xf>
  </cellXfs>
  <cellStyles count="3">
    <cellStyle name="Currency" xfId="1" builtinId="4"/>
    <cellStyle name="Normal" xfId="0" builtinId="0"/>
    <cellStyle name="Percent" xfId="2" builtinId="5"/>
  </cellStyles>
  <dxfs count="171">
    <dxf>
      <font>
        <b/>
        <family val="2"/>
      </font>
    </dxf>
    <dxf>
      <font>
        <b/>
        <family val="2"/>
      </font>
    </dxf>
    <dxf>
      <font>
        <b/>
        <family val="2"/>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quot;$&quot;* #,##0_);_(&quot;$&quot;* \(#,##0\);_(&quot;$&quot;* &quot;-&quot;??_);_(@_)"/>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68" formatCode="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numFmt numFmtId="14" formatCode="0.0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0" formatCode="General"/>
    </dxf>
    <dxf>
      <numFmt numFmtId="14" formatCode="0.00%"/>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style="thin">
          <color indexed="64"/>
        </bottom>
      </border>
    </dxf>
    <dxf>
      <numFmt numFmtId="165" formatCode="[$-409]d\-mmm\-yy;@"/>
      <border diagonalUp="0" diagonalDown="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numFmt numFmtId="165" formatCode="[$-409]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quot;Aptos Narrow&quo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quot;Aptos Narrow&quot;"/>
        <scheme val="none"/>
      </font>
      <fill>
        <patternFill patternType="solid">
          <fgColor indexed="64"/>
          <bgColor theme="6" tint="0.79998168889431442"/>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000000">
                    <a:lumMod val="65000"/>
                    <a:lumOff val="35000"/>
                  </a:srgbClr>
                </a:solidFill>
              </a:rPr>
              <a:t>Visualize Ad Spend vs. Engagement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'Task-3 Engagement Summary'!$F$1</c:f>
              <c:strCache>
                <c:ptCount val="1"/>
                <c:pt idx="0">
                  <c:v>Engagement_Rate</c:v>
                </c:pt>
              </c:strCache>
            </c:strRef>
          </c:tx>
          <c:spPr>
            <a:solidFill>
              <a:schemeClr val="accent1"/>
            </a:solidFill>
            <a:ln>
              <a:noFill/>
            </a:ln>
            <a:effectLst/>
          </c:spPr>
          <c:invertIfNegative val="0"/>
          <c:val>
            <c:numRef>
              <c:f>'Task-3 Engagement Summary'!$F$2:$F$201</c:f>
              <c:numCache>
                <c:formatCode>General</c:formatCode>
                <c:ptCount val="200"/>
                <c:pt idx="0">
                  <c:v>9.92</c:v>
                </c:pt>
                <c:pt idx="1">
                  <c:v>8.0500000000000007</c:v>
                </c:pt>
                <c:pt idx="2">
                  <c:v>7.72</c:v>
                </c:pt>
                <c:pt idx="3">
                  <c:v>9.4</c:v>
                </c:pt>
                <c:pt idx="4">
                  <c:v>9.02</c:v>
                </c:pt>
                <c:pt idx="5">
                  <c:v>9.9600000000000009</c:v>
                </c:pt>
                <c:pt idx="6">
                  <c:v>5.29</c:v>
                </c:pt>
                <c:pt idx="7">
                  <c:v>8.3000000000000007</c:v>
                </c:pt>
                <c:pt idx="8">
                  <c:v>4.66</c:v>
                </c:pt>
                <c:pt idx="9">
                  <c:v>9.48</c:v>
                </c:pt>
                <c:pt idx="10">
                  <c:v>7.11</c:v>
                </c:pt>
                <c:pt idx="11">
                  <c:v>9.65</c:v>
                </c:pt>
                <c:pt idx="12">
                  <c:v>5.43</c:v>
                </c:pt>
                <c:pt idx="13">
                  <c:v>4.5199999999999996</c:v>
                </c:pt>
                <c:pt idx="14">
                  <c:v>4.33</c:v>
                </c:pt>
                <c:pt idx="15">
                  <c:v>8.52</c:v>
                </c:pt>
                <c:pt idx="16">
                  <c:v>8.5500000000000007</c:v>
                </c:pt>
                <c:pt idx="17">
                  <c:v>7.99</c:v>
                </c:pt>
                <c:pt idx="18">
                  <c:v>6.31</c:v>
                </c:pt>
                <c:pt idx="19">
                  <c:v>8.5299999999999994</c:v>
                </c:pt>
                <c:pt idx="20">
                  <c:v>8.42</c:v>
                </c:pt>
                <c:pt idx="21">
                  <c:v>9.34</c:v>
                </c:pt>
                <c:pt idx="22">
                  <c:v>5.65</c:v>
                </c:pt>
                <c:pt idx="23">
                  <c:v>4.2</c:v>
                </c:pt>
                <c:pt idx="24">
                  <c:v>3.87</c:v>
                </c:pt>
                <c:pt idx="25">
                  <c:v>5.82</c:v>
                </c:pt>
                <c:pt idx="26">
                  <c:v>3.55</c:v>
                </c:pt>
                <c:pt idx="27">
                  <c:v>9.92</c:v>
                </c:pt>
                <c:pt idx="28">
                  <c:v>8.17</c:v>
                </c:pt>
                <c:pt idx="29">
                  <c:v>5.3</c:v>
                </c:pt>
                <c:pt idx="30">
                  <c:v>5.98</c:v>
                </c:pt>
                <c:pt idx="31">
                  <c:v>7.49</c:v>
                </c:pt>
                <c:pt idx="32">
                  <c:v>9.3800000000000008</c:v>
                </c:pt>
                <c:pt idx="33">
                  <c:v>5.84</c:v>
                </c:pt>
                <c:pt idx="34">
                  <c:v>5.41</c:v>
                </c:pt>
                <c:pt idx="35">
                  <c:v>6.05</c:v>
                </c:pt>
                <c:pt idx="36">
                  <c:v>7.54</c:v>
                </c:pt>
                <c:pt idx="37">
                  <c:v>5.87</c:v>
                </c:pt>
                <c:pt idx="38">
                  <c:v>7.17</c:v>
                </c:pt>
                <c:pt idx="39">
                  <c:v>6.05</c:v>
                </c:pt>
                <c:pt idx="40">
                  <c:v>7.51</c:v>
                </c:pt>
                <c:pt idx="41">
                  <c:v>7.66</c:v>
                </c:pt>
                <c:pt idx="42">
                  <c:v>6.03</c:v>
                </c:pt>
                <c:pt idx="43">
                  <c:v>3.4</c:v>
                </c:pt>
                <c:pt idx="44">
                  <c:v>7.83</c:v>
                </c:pt>
                <c:pt idx="45">
                  <c:v>8.76</c:v>
                </c:pt>
                <c:pt idx="46">
                  <c:v>9.52</c:v>
                </c:pt>
                <c:pt idx="47">
                  <c:v>3.36</c:v>
                </c:pt>
                <c:pt idx="48">
                  <c:v>9.2200000000000006</c:v>
                </c:pt>
                <c:pt idx="49">
                  <c:v>5.57</c:v>
                </c:pt>
                <c:pt idx="50">
                  <c:v>8.06</c:v>
                </c:pt>
                <c:pt idx="51">
                  <c:v>3.45</c:v>
                </c:pt>
                <c:pt idx="52">
                  <c:v>9.58</c:v>
                </c:pt>
                <c:pt idx="53">
                  <c:v>8.8800000000000008</c:v>
                </c:pt>
                <c:pt idx="54">
                  <c:v>6.23</c:v>
                </c:pt>
                <c:pt idx="55">
                  <c:v>8.4499999999999993</c:v>
                </c:pt>
                <c:pt idx="56">
                  <c:v>8.4</c:v>
                </c:pt>
                <c:pt idx="57">
                  <c:v>7.34</c:v>
                </c:pt>
                <c:pt idx="58">
                  <c:v>8.14</c:v>
                </c:pt>
                <c:pt idx="59">
                  <c:v>9.58</c:v>
                </c:pt>
                <c:pt idx="60">
                  <c:v>8.06</c:v>
                </c:pt>
                <c:pt idx="61">
                  <c:v>8.19</c:v>
                </c:pt>
                <c:pt idx="62">
                  <c:v>4.4800000000000004</c:v>
                </c:pt>
                <c:pt idx="63">
                  <c:v>4.5199999999999996</c:v>
                </c:pt>
                <c:pt idx="64">
                  <c:v>5.42</c:v>
                </c:pt>
                <c:pt idx="65">
                  <c:v>4.08</c:v>
                </c:pt>
                <c:pt idx="66">
                  <c:v>4.0599999999999996</c:v>
                </c:pt>
                <c:pt idx="67">
                  <c:v>9.91</c:v>
                </c:pt>
                <c:pt idx="68">
                  <c:v>8.7200000000000006</c:v>
                </c:pt>
                <c:pt idx="69">
                  <c:v>8.3800000000000008</c:v>
                </c:pt>
                <c:pt idx="70">
                  <c:v>7.56</c:v>
                </c:pt>
                <c:pt idx="71">
                  <c:v>7.24</c:v>
                </c:pt>
                <c:pt idx="72">
                  <c:v>4.53</c:v>
                </c:pt>
                <c:pt idx="73">
                  <c:v>6.62</c:v>
                </c:pt>
                <c:pt idx="74">
                  <c:v>6.36</c:v>
                </c:pt>
                <c:pt idx="75">
                  <c:v>9</c:v>
                </c:pt>
                <c:pt idx="76">
                  <c:v>8.83</c:v>
                </c:pt>
                <c:pt idx="77">
                  <c:v>9.7100000000000009</c:v>
                </c:pt>
                <c:pt idx="78">
                  <c:v>6.68</c:v>
                </c:pt>
                <c:pt idx="79">
                  <c:v>5.51</c:v>
                </c:pt>
                <c:pt idx="80">
                  <c:v>7.97</c:v>
                </c:pt>
                <c:pt idx="81">
                  <c:v>9.18</c:v>
                </c:pt>
                <c:pt idx="82">
                  <c:v>6.44</c:v>
                </c:pt>
                <c:pt idx="83">
                  <c:v>5.0199999999999996</c:v>
                </c:pt>
                <c:pt idx="84">
                  <c:v>4.53</c:v>
                </c:pt>
                <c:pt idx="85">
                  <c:v>9.17</c:v>
                </c:pt>
                <c:pt idx="86">
                  <c:v>3.27</c:v>
                </c:pt>
                <c:pt idx="87">
                  <c:v>5.31</c:v>
                </c:pt>
                <c:pt idx="88">
                  <c:v>6.03</c:v>
                </c:pt>
                <c:pt idx="89">
                  <c:v>8.89</c:v>
                </c:pt>
                <c:pt idx="90">
                  <c:v>4.79</c:v>
                </c:pt>
                <c:pt idx="91">
                  <c:v>4.8</c:v>
                </c:pt>
                <c:pt idx="92">
                  <c:v>4.07</c:v>
                </c:pt>
                <c:pt idx="93">
                  <c:v>6.06</c:v>
                </c:pt>
                <c:pt idx="94">
                  <c:v>7.79</c:v>
                </c:pt>
                <c:pt idx="95">
                  <c:v>9.0500000000000007</c:v>
                </c:pt>
                <c:pt idx="96">
                  <c:v>3.5</c:v>
                </c:pt>
                <c:pt idx="97">
                  <c:v>8.76</c:v>
                </c:pt>
                <c:pt idx="98">
                  <c:v>6.26</c:v>
                </c:pt>
                <c:pt idx="99">
                  <c:v>3.33</c:v>
                </c:pt>
                <c:pt idx="100">
                  <c:v>9.15</c:v>
                </c:pt>
                <c:pt idx="101">
                  <c:v>6.03</c:v>
                </c:pt>
                <c:pt idx="102">
                  <c:v>9.82</c:v>
                </c:pt>
                <c:pt idx="103">
                  <c:v>3.7</c:v>
                </c:pt>
                <c:pt idx="104">
                  <c:v>3.35</c:v>
                </c:pt>
                <c:pt idx="105">
                  <c:v>7.31</c:v>
                </c:pt>
                <c:pt idx="106">
                  <c:v>3.13</c:v>
                </c:pt>
                <c:pt idx="107">
                  <c:v>4.8899999999999997</c:v>
                </c:pt>
                <c:pt idx="108">
                  <c:v>8.6300000000000008</c:v>
                </c:pt>
                <c:pt idx="109">
                  <c:v>8.0299999999999994</c:v>
                </c:pt>
                <c:pt idx="110">
                  <c:v>7.85</c:v>
                </c:pt>
                <c:pt idx="111">
                  <c:v>6.12</c:v>
                </c:pt>
                <c:pt idx="112">
                  <c:v>7.16</c:v>
                </c:pt>
                <c:pt idx="113">
                  <c:v>7.04</c:v>
                </c:pt>
                <c:pt idx="114">
                  <c:v>3.71</c:v>
                </c:pt>
                <c:pt idx="115">
                  <c:v>4.12</c:v>
                </c:pt>
                <c:pt idx="116">
                  <c:v>6.82</c:v>
                </c:pt>
                <c:pt idx="117">
                  <c:v>8.2200000000000006</c:v>
                </c:pt>
                <c:pt idx="118">
                  <c:v>7.71</c:v>
                </c:pt>
                <c:pt idx="119">
                  <c:v>7.39</c:v>
                </c:pt>
                <c:pt idx="120">
                  <c:v>7.89</c:v>
                </c:pt>
                <c:pt idx="121">
                  <c:v>6.39</c:v>
                </c:pt>
                <c:pt idx="122">
                  <c:v>6.77</c:v>
                </c:pt>
                <c:pt idx="123">
                  <c:v>3.41</c:v>
                </c:pt>
                <c:pt idx="124">
                  <c:v>4.1100000000000003</c:v>
                </c:pt>
                <c:pt idx="125">
                  <c:v>9.58</c:v>
                </c:pt>
                <c:pt idx="126">
                  <c:v>3.39</c:v>
                </c:pt>
                <c:pt idx="127">
                  <c:v>9.58</c:v>
                </c:pt>
                <c:pt idx="128">
                  <c:v>5.09</c:v>
                </c:pt>
                <c:pt idx="129">
                  <c:v>7.85</c:v>
                </c:pt>
                <c:pt idx="130">
                  <c:v>9.7100000000000009</c:v>
                </c:pt>
                <c:pt idx="131">
                  <c:v>6.67</c:v>
                </c:pt>
                <c:pt idx="132">
                  <c:v>6.13</c:v>
                </c:pt>
                <c:pt idx="133">
                  <c:v>7.34</c:v>
                </c:pt>
                <c:pt idx="134">
                  <c:v>6.87</c:v>
                </c:pt>
                <c:pt idx="135">
                  <c:v>3.52</c:v>
                </c:pt>
                <c:pt idx="136">
                  <c:v>6.96</c:v>
                </c:pt>
                <c:pt idx="137">
                  <c:v>7.23</c:v>
                </c:pt>
                <c:pt idx="138">
                  <c:v>7.42</c:v>
                </c:pt>
                <c:pt idx="139">
                  <c:v>7.73</c:v>
                </c:pt>
                <c:pt idx="140">
                  <c:v>5.13</c:v>
                </c:pt>
                <c:pt idx="141">
                  <c:v>4.4000000000000004</c:v>
                </c:pt>
                <c:pt idx="142">
                  <c:v>3.49</c:v>
                </c:pt>
                <c:pt idx="143">
                  <c:v>3.57</c:v>
                </c:pt>
                <c:pt idx="144">
                  <c:v>6.41</c:v>
                </c:pt>
                <c:pt idx="145">
                  <c:v>6.04</c:v>
                </c:pt>
                <c:pt idx="146">
                  <c:v>9.18</c:v>
                </c:pt>
                <c:pt idx="147">
                  <c:v>6.54</c:v>
                </c:pt>
                <c:pt idx="148">
                  <c:v>8.66</c:v>
                </c:pt>
                <c:pt idx="149">
                  <c:v>3.89</c:v>
                </c:pt>
                <c:pt idx="150">
                  <c:v>7.95</c:v>
                </c:pt>
                <c:pt idx="151">
                  <c:v>6.66</c:v>
                </c:pt>
                <c:pt idx="152">
                  <c:v>5.25</c:v>
                </c:pt>
                <c:pt idx="153">
                  <c:v>5.07</c:v>
                </c:pt>
                <c:pt idx="154">
                  <c:v>7.62</c:v>
                </c:pt>
                <c:pt idx="155">
                  <c:v>7.44</c:v>
                </c:pt>
                <c:pt idx="156">
                  <c:v>4.8600000000000003</c:v>
                </c:pt>
                <c:pt idx="157">
                  <c:v>6.93</c:v>
                </c:pt>
                <c:pt idx="158">
                  <c:v>9.99</c:v>
                </c:pt>
                <c:pt idx="159">
                  <c:v>5.22</c:v>
                </c:pt>
                <c:pt idx="160">
                  <c:v>5.17</c:v>
                </c:pt>
                <c:pt idx="161">
                  <c:v>5.17</c:v>
                </c:pt>
                <c:pt idx="162">
                  <c:v>6.18</c:v>
                </c:pt>
                <c:pt idx="163">
                  <c:v>5.3</c:v>
                </c:pt>
                <c:pt idx="164">
                  <c:v>5.99</c:v>
                </c:pt>
                <c:pt idx="165">
                  <c:v>8.43</c:v>
                </c:pt>
                <c:pt idx="166">
                  <c:v>7.55</c:v>
                </c:pt>
                <c:pt idx="167">
                  <c:v>5.63</c:v>
                </c:pt>
                <c:pt idx="168">
                  <c:v>4.71</c:v>
                </c:pt>
                <c:pt idx="169">
                  <c:v>5.28</c:v>
                </c:pt>
                <c:pt idx="170">
                  <c:v>5.95</c:v>
                </c:pt>
                <c:pt idx="171">
                  <c:v>9.98</c:v>
                </c:pt>
                <c:pt idx="172">
                  <c:v>9.93</c:v>
                </c:pt>
                <c:pt idx="173">
                  <c:v>9.08</c:v>
                </c:pt>
                <c:pt idx="174">
                  <c:v>7.98</c:v>
                </c:pt>
                <c:pt idx="175">
                  <c:v>9.6199999999999992</c:v>
                </c:pt>
                <c:pt idx="176">
                  <c:v>8.7100000000000009</c:v>
                </c:pt>
                <c:pt idx="177">
                  <c:v>6.69</c:v>
                </c:pt>
                <c:pt idx="178">
                  <c:v>4.25</c:v>
                </c:pt>
                <c:pt idx="179">
                  <c:v>4.9800000000000004</c:v>
                </c:pt>
                <c:pt idx="180">
                  <c:v>4.97</c:v>
                </c:pt>
                <c:pt idx="181">
                  <c:v>3.71</c:v>
                </c:pt>
                <c:pt idx="182">
                  <c:v>7.79</c:v>
                </c:pt>
                <c:pt idx="183">
                  <c:v>4.96</c:v>
                </c:pt>
                <c:pt idx="184">
                  <c:v>8.58</c:v>
                </c:pt>
                <c:pt idx="185">
                  <c:v>8.51</c:v>
                </c:pt>
                <c:pt idx="186">
                  <c:v>5.41</c:v>
                </c:pt>
                <c:pt idx="187">
                  <c:v>8.7200000000000006</c:v>
                </c:pt>
                <c:pt idx="188">
                  <c:v>7.71</c:v>
                </c:pt>
                <c:pt idx="189">
                  <c:v>8.35</c:v>
                </c:pt>
                <c:pt idx="190">
                  <c:v>4.03</c:v>
                </c:pt>
                <c:pt idx="191">
                  <c:v>9.3699999999999992</c:v>
                </c:pt>
                <c:pt idx="192">
                  <c:v>6.07</c:v>
                </c:pt>
                <c:pt idx="193">
                  <c:v>6.52</c:v>
                </c:pt>
                <c:pt idx="194">
                  <c:v>3.08</c:v>
                </c:pt>
                <c:pt idx="195">
                  <c:v>5.34</c:v>
                </c:pt>
                <c:pt idx="196">
                  <c:v>3.65</c:v>
                </c:pt>
                <c:pt idx="197">
                  <c:v>4.18</c:v>
                </c:pt>
                <c:pt idx="198">
                  <c:v>3.91</c:v>
                </c:pt>
                <c:pt idx="199">
                  <c:v>5.12</c:v>
                </c:pt>
              </c:numCache>
            </c:numRef>
          </c:val>
          <c:extLst>
            <c:ext xmlns:c16="http://schemas.microsoft.com/office/drawing/2014/chart" uri="{C3380CC4-5D6E-409C-BE32-E72D297353CC}">
              <c16:uniqueId val="{00000000-5AFB-4887-89AE-6AECFCEB4257}"/>
            </c:ext>
          </c:extLst>
        </c:ser>
        <c:dLbls>
          <c:showLegendKey val="0"/>
          <c:showVal val="0"/>
          <c:showCatName val="0"/>
          <c:showSerName val="0"/>
          <c:showPercent val="0"/>
          <c:showBubbleSize val="0"/>
        </c:dLbls>
        <c:gapWidth val="150"/>
        <c:axId val="1988182048"/>
        <c:axId val="1982289520"/>
      </c:barChart>
      <c:lineChart>
        <c:grouping val="standard"/>
        <c:varyColors val="0"/>
        <c:ser>
          <c:idx val="1"/>
          <c:order val="1"/>
          <c:tx>
            <c:strRef>
              <c:f>'Task-3 Engagement Summary'!$G$1</c:f>
              <c:strCache>
                <c:ptCount val="1"/>
                <c:pt idx="0">
                  <c:v>Ad_Spend</c:v>
                </c:pt>
              </c:strCache>
            </c:strRef>
          </c:tx>
          <c:spPr>
            <a:ln w="28575" cap="rnd">
              <a:solidFill>
                <a:schemeClr val="accent2"/>
              </a:solidFill>
              <a:round/>
            </a:ln>
            <a:effectLst/>
          </c:spPr>
          <c:marker>
            <c:symbol val="none"/>
          </c:marker>
          <c:val>
            <c:numRef>
              <c:f>'Task-3 Engagement Summary'!$G$2:$G$201</c:f>
              <c:numCache>
                <c:formatCode>General</c:formatCode>
                <c:ptCount val="200"/>
                <c:pt idx="0">
                  <c:v>23125</c:v>
                </c:pt>
                <c:pt idx="1">
                  <c:v>22788</c:v>
                </c:pt>
                <c:pt idx="2">
                  <c:v>7810</c:v>
                </c:pt>
                <c:pt idx="3">
                  <c:v>11966</c:v>
                </c:pt>
                <c:pt idx="4">
                  <c:v>26298</c:v>
                </c:pt>
                <c:pt idx="5">
                  <c:v>22029</c:v>
                </c:pt>
                <c:pt idx="6">
                  <c:v>12391</c:v>
                </c:pt>
                <c:pt idx="7">
                  <c:v>14477</c:v>
                </c:pt>
                <c:pt idx="8">
                  <c:v>25040</c:v>
                </c:pt>
                <c:pt idx="9">
                  <c:v>22619</c:v>
                </c:pt>
                <c:pt idx="10">
                  <c:v>12399</c:v>
                </c:pt>
                <c:pt idx="11">
                  <c:v>22456</c:v>
                </c:pt>
                <c:pt idx="12">
                  <c:v>19328</c:v>
                </c:pt>
                <c:pt idx="13">
                  <c:v>21107</c:v>
                </c:pt>
                <c:pt idx="14">
                  <c:v>12277</c:v>
                </c:pt>
                <c:pt idx="15">
                  <c:v>11684</c:v>
                </c:pt>
                <c:pt idx="16">
                  <c:v>14412</c:v>
                </c:pt>
                <c:pt idx="17">
                  <c:v>15924</c:v>
                </c:pt>
                <c:pt idx="18">
                  <c:v>12390</c:v>
                </c:pt>
                <c:pt idx="19">
                  <c:v>25742</c:v>
                </c:pt>
                <c:pt idx="20">
                  <c:v>10495</c:v>
                </c:pt>
                <c:pt idx="21">
                  <c:v>7797</c:v>
                </c:pt>
                <c:pt idx="22">
                  <c:v>15595</c:v>
                </c:pt>
                <c:pt idx="23">
                  <c:v>24617</c:v>
                </c:pt>
                <c:pt idx="24">
                  <c:v>9847</c:v>
                </c:pt>
                <c:pt idx="25">
                  <c:v>13644</c:v>
                </c:pt>
                <c:pt idx="26">
                  <c:v>11421</c:v>
                </c:pt>
                <c:pt idx="27">
                  <c:v>15613</c:v>
                </c:pt>
                <c:pt idx="28">
                  <c:v>23900</c:v>
                </c:pt>
                <c:pt idx="29">
                  <c:v>5836</c:v>
                </c:pt>
                <c:pt idx="30">
                  <c:v>5624</c:v>
                </c:pt>
                <c:pt idx="31">
                  <c:v>10311</c:v>
                </c:pt>
                <c:pt idx="32">
                  <c:v>8274</c:v>
                </c:pt>
                <c:pt idx="33">
                  <c:v>6031</c:v>
                </c:pt>
                <c:pt idx="34">
                  <c:v>27829</c:v>
                </c:pt>
                <c:pt idx="35">
                  <c:v>18267</c:v>
                </c:pt>
                <c:pt idx="36">
                  <c:v>26624</c:v>
                </c:pt>
                <c:pt idx="37">
                  <c:v>26644</c:v>
                </c:pt>
                <c:pt idx="38">
                  <c:v>13051</c:v>
                </c:pt>
                <c:pt idx="39">
                  <c:v>14217</c:v>
                </c:pt>
                <c:pt idx="40">
                  <c:v>16385</c:v>
                </c:pt>
                <c:pt idx="41">
                  <c:v>24548</c:v>
                </c:pt>
                <c:pt idx="42">
                  <c:v>9195</c:v>
                </c:pt>
                <c:pt idx="43">
                  <c:v>18071</c:v>
                </c:pt>
                <c:pt idx="44">
                  <c:v>16875</c:v>
                </c:pt>
                <c:pt idx="45">
                  <c:v>9567</c:v>
                </c:pt>
                <c:pt idx="46">
                  <c:v>20306</c:v>
                </c:pt>
                <c:pt idx="47">
                  <c:v>21134</c:v>
                </c:pt>
                <c:pt idx="48">
                  <c:v>26872</c:v>
                </c:pt>
                <c:pt idx="49">
                  <c:v>10253</c:v>
                </c:pt>
                <c:pt idx="50">
                  <c:v>23963</c:v>
                </c:pt>
                <c:pt idx="51">
                  <c:v>11335</c:v>
                </c:pt>
                <c:pt idx="52">
                  <c:v>12115</c:v>
                </c:pt>
                <c:pt idx="53">
                  <c:v>24358</c:v>
                </c:pt>
                <c:pt idx="54">
                  <c:v>12181</c:v>
                </c:pt>
                <c:pt idx="55">
                  <c:v>17729</c:v>
                </c:pt>
                <c:pt idx="56">
                  <c:v>10881</c:v>
                </c:pt>
                <c:pt idx="57">
                  <c:v>18576</c:v>
                </c:pt>
                <c:pt idx="58">
                  <c:v>9383</c:v>
                </c:pt>
                <c:pt idx="59">
                  <c:v>14178</c:v>
                </c:pt>
                <c:pt idx="60">
                  <c:v>21254</c:v>
                </c:pt>
                <c:pt idx="61">
                  <c:v>14215</c:v>
                </c:pt>
                <c:pt idx="62">
                  <c:v>16921</c:v>
                </c:pt>
                <c:pt idx="63">
                  <c:v>25130</c:v>
                </c:pt>
                <c:pt idx="64">
                  <c:v>25537</c:v>
                </c:pt>
                <c:pt idx="65">
                  <c:v>24943</c:v>
                </c:pt>
                <c:pt idx="66">
                  <c:v>14563</c:v>
                </c:pt>
                <c:pt idx="67">
                  <c:v>26273</c:v>
                </c:pt>
                <c:pt idx="68">
                  <c:v>10858</c:v>
                </c:pt>
                <c:pt idx="69">
                  <c:v>25038</c:v>
                </c:pt>
                <c:pt idx="70">
                  <c:v>9092</c:v>
                </c:pt>
                <c:pt idx="71">
                  <c:v>17662</c:v>
                </c:pt>
                <c:pt idx="72">
                  <c:v>5924</c:v>
                </c:pt>
                <c:pt idx="73">
                  <c:v>25347</c:v>
                </c:pt>
                <c:pt idx="74">
                  <c:v>8910</c:v>
                </c:pt>
                <c:pt idx="75">
                  <c:v>20438</c:v>
                </c:pt>
                <c:pt idx="76">
                  <c:v>8760</c:v>
                </c:pt>
                <c:pt idx="77">
                  <c:v>6625</c:v>
                </c:pt>
                <c:pt idx="78">
                  <c:v>23329</c:v>
                </c:pt>
                <c:pt idx="79">
                  <c:v>7299</c:v>
                </c:pt>
                <c:pt idx="80">
                  <c:v>14496</c:v>
                </c:pt>
                <c:pt idx="81">
                  <c:v>25703</c:v>
                </c:pt>
                <c:pt idx="82">
                  <c:v>15108</c:v>
                </c:pt>
                <c:pt idx="83">
                  <c:v>18867</c:v>
                </c:pt>
                <c:pt idx="84">
                  <c:v>17574</c:v>
                </c:pt>
                <c:pt idx="85">
                  <c:v>12840</c:v>
                </c:pt>
                <c:pt idx="86">
                  <c:v>21079</c:v>
                </c:pt>
                <c:pt idx="87">
                  <c:v>23486</c:v>
                </c:pt>
                <c:pt idx="88">
                  <c:v>5960</c:v>
                </c:pt>
                <c:pt idx="89">
                  <c:v>13301</c:v>
                </c:pt>
                <c:pt idx="90">
                  <c:v>10563</c:v>
                </c:pt>
                <c:pt idx="91">
                  <c:v>19949</c:v>
                </c:pt>
                <c:pt idx="92">
                  <c:v>14273</c:v>
                </c:pt>
                <c:pt idx="93">
                  <c:v>9247</c:v>
                </c:pt>
                <c:pt idx="94">
                  <c:v>11972</c:v>
                </c:pt>
                <c:pt idx="95">
                  <c:v>13314</c:v>
                </c:pt>
                <c:pt idx="96">
                  <c:v>14749</c:v>
                </c:pt>
                <c:pt idx="97">
                  <c:v>6868</c:v>
                </c:pt>
                <c:pt idx="98">
                  <c:v>6027</c:v>
                </c:pt>
                <c:pt idx="99">
                  <c:v>25267</c:v>
                </c:pt>
                <c:pt idx="100">
                  <c:v>5900</c:v>
                </c:pt>
                <c:pt idx="101">
                  <c:v>11181</c:v>
                </c:pt>
                <c:pt idx="102">
                  <c:v>9592</c:v>
                </c:pt>
                <c:pt idx="103">
                  <c:v>5291</c:v>
                </c:pt>
                <c:pt idx="104">
                  <c:v>22244</c:v>
                </c:pt>
                <c:pt idx="105">
                  <c:v>6824</c:v>
                </c:pt>
                <c:pt idx="106">
                  <c:v>24112</c:v>
                </c:pt>
                <c:pt idx="107">
                  <c:v>25478</c:v>
                </c:pt>
                <c:pt idx="108">
                  <c:v>11235</c:v>
                </c:pt>
                <c:pt idx="109">
                  <c:v>6120</c:v>
                </c:pt>
                <c:pt idx="110">
                  <c:v>20572</c:v>
                </c:pt>
                <c:pt idx="111">
                  <c:v>14975</c:v>
                </c:pt>
                <c:pt idx="112">
                  <c:v>22234</c:v>
                </c:pt>
                <c:pt idx="113">
                  <c:v>6532</c:v>
                </c:pt>
                <c:pt idx="114">
                  <c:v>24858</c:v>
                </c:pt>
                <c:pt idx="115">
                  <c:v>13883</c:v>
                </c:pt>
                <c:pt idx="116">
                  <c:v>18654</c:v>
                </c:pt>
                <c:pt idx="117">
                  <c:v>25234</c:v>
                </c:pt>
                <c:pt idx="118">
                  <c:v>6772</c:v>
                </c:pt>
                <c:pt idx="119">
                  <c:v>22428</c:v>
                </c:pt>
                <c:pt idx="120">
                  <c:v>11911</c:v>
                </c:pt>
                <c:pt idx="121">
                  <c:v>21900</c:v>
                </c:pt>
                <c:pt idx="122">
                  <c:v>25542</c:v>
                </c:pt>
                <c:pt idx="123">
                  <c:v>7140</c:v>
                </c:pt>
                <c:pt idx="124">
                  <c:v>20474</c:v>
                </c:pt>
                <c:pt idx="125">
                  <c:v>8698</c:v>
                </c:pt>
                <c:pt idx="126">
                  <c:v>10402</c:v>
                </c:pt>
                <c:pt idx="127">
                  <c:v>26618</c:v>
                </c:pt>
                <c:pt idx="128">
                  <c:v>7975</c:v>
                </c:pt>
                <c:pt idx="129">
                  <c:v>19054</c:v>
                </c:pt>
                <c:pt idx="130">
                  <c:v>13740</c:v>
                </c:pt>
                <c:pt idx="131">
                  <c:v>18442</c:v>
                </c:pt>
                <c:pt idx="132">
                  <c:v>10104</c:v>
                </c:pt>
                <c:pt idx="133">
                  <c:v>21771</c:v>
                </c:pt>
                <c:pt idx="134">
                  <c:v>22191</c:v>
                </c:pt>
                <c:pt idx="135">
                  <c:v>27753</c:v>
                </c:pt>
                <c:pt idx="136">
                  <c:v>23736</c:v>
                </c:pt>
                <c:pt idx="137">
                  <c:v>27393</c:v>
                </c:pt>
                <c:pt idx="138">
                  <c:v>10343</c:v>
                </c:pt>
                <c:pt idx="139">
                  <c:v>25259</c:v>
                </c:pt>
                <c:pt idx="140">
                  <c:v>24827</c:v>
                </c:pt>
                <c:pt idx="141">
                  <c:v>11908</c:v>
                </c:pt>
                <c:pt idx="142">
                  <c:v>11005</c:v>
                </c:pt>
                <c:pt idx="143">
                  <c:v>26333</c:v>
                </c:pt>
                <c:pt idx="144">
                  <c:v>5495</c:v>
                </c:pt>
                <c:pt idx="145">
                  <c:v>15655</c:v>
                </c:pt>
                <c:pt idx="146">
                  <c:v>13763</c:v>
                </c:pt>
                <c:pt idx="147">
                  <c:v>26073</c:v>
                </c:pt>
                <c:pt idx="148">
                  <c:v>12774</c:v>
                </c:pt>
                <c:pt idx="149">
                  <c:v>19000</c:v>
                </c:pt>
                <c:pt idx="150">
                  <c:v>14051</c:v>
                </c:pt>
                <c:pt idx="151">
                  <c:v>27782</c:v>
                </c:pt>
                <c:pt idx="152">
                  <c:v>7859</c:v>
                </c:pt>
                <c:pt idx="153">
                  <c:v>15773</c:v>
                </c:pt>
                <c:pt idx="154">
                  <c:v>20595</c:v>
                </c:pt>
                <c:pt idx="155">
                  <c:v>12031</c:v>
                </c:pt>
                <c:pt idx="156">
                  <c:v>15128</c:v>
                </c:pt>
                <c:pt idx="157">
                  <c:v>11826</c:v>
                </c:pt>
                <c:pt idx="158">
                  <c:v>12562</c:v>
                </c:pt>
                <c:pt idx="159">
                  <c:v>13013</c:v>
                </c:pt>
                <c:pt idx="160">
                  <c:v>12937</c:v>
                </c:pt>
                <c:pt idx="161">
                  <c:v>14534</c:v>
                </c:pt>
                <c:pt idx="162">
                  <c:v>8182</c:v>
                </c:pt>
                <c:pt idx="163">
                  <c:v>10615</c:v>
                </c:pt>
                <c:pt idx="164">
                  <c:v>20109</c:v>
                </c:pt>
                <c:pt idx="165">
                  <c:v>26024</c:v>
                </c:pt>
                <c:pt idx="166">
                  <c:v>26730</c:v>
                </c:pt>
                <c:pt idx="167">
                  <c:v>10563</c:v>
                </c:pt>
                <c:pt idx="168">
                  <c:v>27575</c:v>
                </c:pt>
                <c:pt idx="169">
                  <c:v>14479</c:v>
                </c:pt>
                <c:pt idx="170">
                  <c:v>15915</c:v>
                </c:pt>
                <c:pt idx="171">
                  <c:v>12767</c:v>
                </c:pt>
                <c:pt idx="172">
                  <c:v>12170</c:v>
                </c:pt>
                <c:pt idx="173">
                  <c:v>7245</c:v>
                </c:pt>
                <c:pt idx="174">
                  <c:v>12985</c:v>
                </c:pt>
                <c:pt idx="175">
                  <c:v>16377</c:v>
                </c:pt>
                <c:pt idx="176">
                  <c:v>11453</c:v>
                </c:pt>
                <c:pt idx="177">
                  <c:v>12323</c:v>
                </c:pt>
                <c:pt idx="178">
                  <c:v>11911</c:v>
                </c:pt>
                <c:pt idx="179">
                  <c:v>27809</c:v>
                </c:pt>
                <c:pt idx="180">
                  <c:v>21464</c:v>
                </c:pt>
                <c:pt idx="181">
                  <c:v>27126</c:v>
                </c:pt>
                <c:pt idx="182">
                  <c:v>10681</c:v>
                </c:pt>
                <c:pt idx="183">
                  <c:v>5413</c:v>
                </c:pt>
                <c:pt idx="184">
                  <c:v>25058</c:v>
                </c:pt>
                <c:pt idx="185">
                  <c:v>18303</c:v>
                </c:pt>
                <c:pt idx="186">
                  <c:v>5526</c:v>
                </c:pt>
                <c:pt idx="187">
                  <c:v>17460</c:v>
                </c:pt>
                <c:pt idx="188">
                  <c:v>14475</c:v>
                </c:pt>
                <c:pt idx="189">
                  <c:v>20162</c:v>
                </c:pt>
                <c:pt idx="190">
                  <c:v>17103</c:v>
                </c:pt>
                <c:pt idx="191">
                  <c:v>15461</c:v>
                </c:pt>
                <c:pt idx="192">
                  <c:v>22103</c:v>
                </c:pt>
                <c:pt idx="193">
                  <c:v>11625</c:v>
                </c:pt>
                <c:pt idx="194">
                  <c:v>5281</c:v>
                </c:pt>
                <c:pt idx="195">
                  <c:v>13424</c:v>
                </c:pt>
                <c:pt idx="196">
                  <c:v>13140</c:v>
                </c:pt>
                <c:pt idx="197">
                  <c:v>19538</c:v>
                </c:pt>
                <c:pt idx="198">
                  <c:v>7881</c:v>
                </c:pt>
                <c:pt idx="199">
                  <c:v>11418</c:v>
                </c:pt>
              </c:numCache>
            </c:numRef>
          </c:val>
          <c:smooth val="0"/>
          <c:extLst>
            <c:ext xmlns:c16="http://schemas.microsoft.com/office/drawing/2014/chart" uri="{C3380CC4-5D6E-409C-BE32-E72D297353CC}">
              <c16:uniqueId val="{00000001-5AFB-4887-89AE-6AECFCEB4257}"/>
            </c:ext>
          </c:extLst>
        </c:ser>
        <c:dLbls>
          <c:showLegendKey val="0"/>
          <c:showVal val="0"/>
          <c:showCatName val="0"/>
          <c:showSerName val="0"/>
          <c:showPercent val="0"/>
          <c:showBubbleSize val="0"/>
        </c:dLbls>
        <c:marker val="1"/>
        <c:smooth val="0"/>
        <c:axId val="1982291440"/>
        <c:axId val="1982288560"/>
      </c:lineChart>
      <c:catAx>
        <c:axId val="19881820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89520"/>
        <c:crosses val="autoZero"/>
        <c:auto val="1"/>
        <c:lblAlgn val="ctr"/>
        <c:lblOffset val="100"/>
        <c:noMultiLvlLbl val="0"/>
      </c:catAx>
      <c:valAx>
        <c:axId val="198228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182048"/>
        <c:crosses val="autoZero"/>
        <c:crossBetween val="between"/>
      </c:valAx>
      <c:valAx>
        <c:axId val="198228856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91440"/>
        <c:crosses val="max"/>
        <c:crossBetween val="between"/>
      </c:valAx>
      <c:catAx>
        <c:axId val="1982291440"/>
        <c:scaling>
          <c:orientation val="minMax"/>
        </c:scaling>
        <c:delete val="1"/>
        <c:axPos val="b"/>
        <c:majorTickMark val="none"/>
        <c:minorTickMark val="none"/>
        <c:tickLblPos val="nextTo"/>
        <c:crossAx val="198228856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Recommend optimal content type-platform combinations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'Task-4'!$F$12:$F$15</c:f>
              <c:strCache>
                <c:ptCount val="4"/>
                <c:pt idx="0">
                  <c:v>Total Engagement Score</c:v>
                </c:pt>
                <c:pt idx="1">
                  <c:v>Text</c:v>
                </c:pt>
                <c:pt idx="2">
                  <c:v>Story</c:v>
                </c:pt>
                <c:pt idx="3">
                  <c:v>Reel</c:v>
                </c:pt>
              </c:strCache>
            </c:strRef>
          </c:cat>
          <c:val>
            <c:numRef>
              <c:f>'Task-4'!$G$12:$G$15</c:f>
              <c:numCache>
                <c:formatCode>General</c:formatCode>
                <c:ptCount val="4"/>
                <c:pt idx="1">
                  <c:v>559356</c:v>
                </c:pt>
                <c:pt idx="2">
                  <c:v>392503</c:v>
                </c:pt>
                <c:pt idx="3">
                  <c:v>105783</c:v>
                </c:pt>
              </c:numCache>
            </c:numRef>
          </c:val>
          <c:extLst>
            <c:ext xmlns:c16="http://schemas.microsoft.com/office/drawing/2014/chart" uri="{C3380CC4-5D6E-409C-BE32-E72D297353CC}">
              <c16:uniqueId val="{00000000-DE7D-4E54-A1BC-45ECBF5A8C2C}"/>
            </c:ext>
          </c:extLst>
        </c:ser>
        <c:dLbls>
          <c:showLegendKey val="0"/>
          <c:showVal val="0"/>
          <c:showCatName val="0"/>
          <c:showSerName val="0"/>
          <c:showPercent val="0"/>
          <c:showBubbleSize val="0"/>
        </c:dLbls>
        <c:gapWidth val="150"/>
        <c:shape val="box"/>
        <c:axId val="1791998048"/>
        <c:axId val="1791997088"/>
        <c:axId val="0"/>
      </c:bar3DChart>
      <c:catAx>
        <c:axId val="1791998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997088"/>
        <c:crosses val="autoZero"/>
        <c:auto val="1"/>
        <c:lblAlgn val="ctr"/>
        <c:lblOffset val="100"/>
        <c:noMultiLvlLbl val="0"/>
      </c:catAx>
      <c:valAx>
        <c:axId val="1791997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99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social media performace data .xlsx]Task-5!PivotTable4</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800" b="0" i="0" u="none" strike="noStrike" kern="1200" baseline="0">
                <a:solidFill>
                  <a:srgbClr val="000000">
                    <a:lumMod val="65000"/>
                    <a:lumOff val="35000"/>
                  </a:srgbClr>
                </a:solidFill>
                <a:effectLst/>
              </a:rPr>
              <a:t>Uplift During vs. Before Campaign</a:t>
            </a:r>
            <a:endParaRPr lang="en-US"/>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'Task-5'!$N$7</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'Task-5'!$M$8:$M$9</c:f>
              <c:strCache>
                <c:ptCount val="2"/>
                <c:pt idx="0">
                  <c:v>Before</c:v>
                </c:pt>
                <c:pt idx="1">
                  <c:v>During</c:v>
                </c:pt>
              </c:strCache>
            </c:strRef>
          </c:cat>
          <c:val>
            <c:numRef>
              <c:f>'Task-5'!$N$8:$N$9</c:f>
              <c:numCache>
                <c:formatCode>0.00%</c:formatCode>
                <c:ptCount val="2"/>
                <c:pt idx="0">
                  <c:v>9.0957402746994001E-2</c:v>
                </c:pt>
                <c:pt idx="1">
                  <c:v>9.658823399924478E-2</c:v>
                </c:pt>
              </c:numCache>
            </c:numRef>
          </c:val>
          <c:extLst>
            <c:ext xmlns:c16="http://schemas.microsoft.com/office/drawing/2014/chart" uri="{C3380CC4-5D6E-409C-BE32-E72D297353CC}">
              <c16:uniqueId val="{00000000-0A94-4394-9FF9-93CE926BF0F6}"/>
            </c:ext>
          </c:extLst>
        </c:ser>
        <c:dLbls>
          <c:dLblPos val="inEnd"/>
          <c:showLegendKey val="0"/>
          <c:showVal val="1"/>
          <c:showCatName val="0"/>
          <c:showSerName val="0"/>
          <c:showPercent val="0"/>
          <c:showBubbleSize val="0"/>
        </c:dLbls>
        <c:gapWidth val="41"/>
        <c:axId val="515053007"/>
        <c:axId val="515053487"/>
      </c:barChart>
      <c:catAx>
        <c:axId val="515053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15053487"/>
        <c:crosses val="autoZero"/>
        <c:auto val="1"/>
        <c:lblAlgn val="ctr"/>
        <c:lblOffset val="100"/>
        <c:noMultiLvlLbl val="0"/>
      </c:catAx>
      <c:valAx>
        <c:axId val="515053487"/>
        <c:scaling>
          <c:orientation val="minMax"/>
        </c:scaling>
        <c:delete val="1"/>
        <c:axPos val="l"/>
        <c:numFmt formatCode="0.00%" sourceLinked="1"/>
        <c:majorTickMark val="none"/>
        <c:minorTickMark val="none"/>
        <c:tickLblPos val="nextTo"/>
        <c:crossAx val="51505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ROI (engagement/ad spend) </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'Task-5'!$C$38</c:f>
              <c:strCache>
                <c:ptCount val="1"/>
                <c:pt idx="0">
                  <c:v>Total Engagement</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'Task-5'!$B$39:$B$42</c:f>
              <c:strCache>
                <c:ptCount val="4"/>
                <c:pt idx="0">
                  <c:v>ChillVibes</c:v>
                </c:pt>
                <c:pt idx="1">
                  <c:v>IndieWave</c:v>
                </c:pt>
                <c:pt idx="2">
                  <c:v>SummerBeats</c:v>
                </c:pt>
                <c:pt idx="3">
                  <c:v>Wrapped2024</c:v>
                </c:pt>
              </c:strCache>
            </c:strRef>
          </c:cat>
          <c:val>
            <c:numRef>
              <c:f>'Task-5'!$C$39:$C$42</c:f>
              <c:numCache>
                <c:formatCode>General</c:formatCode>
                <c:ptCount val="4"/>
                <c:pt idx="0">
                  <c:v>551989</c:v>
                </c:pt>
                <c:pt idx="1">
                  <c:v>324406</c:v>
                </c:pt>
                <c:pt idx="2">
                  <c:v>105783</c:v>
                </c:pt>
                <c:pt idx="3">
                  <c:v>75464</c:v>
                </c:pt>
              </c:numCache>
            </c:numRef>
          </c:val>
          <c:extLst>
            <c:ext xmlns:c16="http://schemas.microsoft.com/office/drawing/2014/chart" uri="{C3380CC4-5D6E-409C-BE32-E72D297353CC}">
              <c16:uniqueId val="{00000000-E5F2-413A-B71A-0C0A6265A665}"/>
            </c:ext>
          </c:extLst>
        </c:ser>
        <c:ser>
          <c:idx val="1"/>
          <c:order val="1"/>
          <c:tx>
            <c:strRef>
              <c:f>'Task-5'!$D$38</c:f>
              <c:strCache>
                <c:ptCount val="1"/>
                <c:pt idx="0">
                  <c:v>Total Budget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'Task-5'!$B$39:$B$42</c:f>
              <c:strCache>
                <c:ptCount val="4"/>
                <c:pt idx="0">
                  <c:v>ChillVibes</c:v>
                </c:pt>
                <c:pt idx="1">
                  <c:v>IndieWave</c:v>
                </c:pt>
                <c:pt idx="2">
                  <c:v>SummerBeats</c:v>
                </c:pt>
                <c:pt idx="3">
                  <c:v>Wrapped2024</c:v>
                </c:pt>
              </c:strCache>
            </c:strRef>
          </c:cat>
          <c:val>
            <c:numRef>
              <c:f>'Task-5'!$D$39:$D$42</c:f>
              <c:numCache>
                <c:formatCode>General</c:formatCode>
                <c:ptCount val="4"/>
                <c:pt idx="0">
                  <c:v>200000</c:v>
                </c:pt>
                <c:pt idx="1">
                  <c:v>160000</c:v>
                </c:pt>
                <c:pt idx="2">
                  <c:v>175000</c:v>
                </c:pt>
                <c:pt idx="3">
                  <c:v>225000</c:v>
                </c:pt>
              </c:numCache>
            </c:numRef>
          </c:val>
          <c:extLst>
            <c:ext xmlns:c16="http://schemas.microsoft.com/office/drawing/2014/chart" uri="{C3380CC4-5D6E-409C-BE32-E72D297353CC}">
              <c16:uniqueId val="{00000001-E5F2-413A-B71A-0C0A6265A665}"/>
            </c:ext>
          </c:extLst>
        </c:ser>
        <c:ser>
          <c:idx val="2"/>
          <c:order val="2"/>
          <c:tx>
            <c:strRef>
              <c:f>'Task-5'!$E$38</c:f>
              <c:strCache>
                <c:ptCount val="1"/>
                <c:pt idx="0">
                  <c:v>ROI</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'Task-5'!$B$39:$B$42</c:f>
              <c:strCache>
                <c:ptCount val="4"/>
                <c:pt idx="0">
                  <c:v>ChillVibes</c:v>
                </c:pt>
                <c:pt idx="1">
                  <c:v>IndieWave</c:v>
                </c:pt>
                <c:pt idx="2">
                  <c:v>SummerBeats</c:v>
                </c:pt>
                <c:pt idx="3">
                  <c:v>Wrapped2024</c:v>
                </c:pt>
              </c:strCache>
            </c:strRef>
          </c:cat>
          <c:val>
            <c:numRef>
              <c:f>'Task-5'!$E$39:$E$42</c:f>
              <c:numCache>
                <c:formatCode>0.00</c:formatCode>
                <c:ptCount val="4"/>
                <c:pt idx="0">
                  <c:v>2.7599450000000001</c:v>
                </c:pt>
                <c:pt idx="1">
                  <c:v>2.0275375000000002</c:v>
                </c:pt>
                <c:pt idx="2">
                  <c:v>0.60447428571428574</c:v>
                </c:pt>
                <c:pt idx="3">
                  <c:v>0.33539555555555556</c:v>
                </c:pt>
              </c:numCache>
            </c:numRef>
          </c:val>
          <c:extLst>
            <c:ext xmlns:c16="http://schemas.microsoft.com/office/drawing/2014/chart" uri="{C3380CC4-5D6E-409C-BE32-E72D297353CC}">
              <c16:uniqueId val="{00000002-E5F2-413A-B71A-0C0A6265A665}"/>
            </c:ext>
          </c:extLst>
        </c:ser>
        <c:dLbls>
          <c:dLblPos val="outEnd"/>
          <c:showLegendKey val="0"/>
          <c:showVal val="1"/>
          <c:showCatName val="0"/>
          <c:showSerName val="0"/>
          <c:showPercent val="0"/>
          <c:showBubbleSize val="0"/>
        </c:dLbls>
        <c:gapWidth val="444"/>
        <c:overlap val="-90"/>
        <c:axId val="1764006928"/>
        <c:axId val="1764013168"/>
      </c:barChart>
      <c:catAx>
        <c:axId val="1764006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764013168"/>
        <c:crosses val="autoZero"/>
        <c:auto val="1"/>
        <c:lblAlgn val="ctr"/>
        <c:lblOffset val="100"/>
        <c:noMultiLvlLbl val="0"/>
      </c:catAx>
      <c:valAx>
        <c:axId val="1764013168"/>
        <c:scaling>
          <c:orientation val="minMax"/>
        </c:scaling>
        <c:delete val="1"/>
        <c:axPos val="l"/>
        <c:numFmt formatCode="General" sourceLinked="1"/>
        <c:majorTickMark val="none"/>
        <c:minorTickMark val="none"/>
        <c:tickLblPos val="nextTo"/>
        <c:crossAx val="17640069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social media performace data .xlsx]Task-5!PivotTable9</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rgbClr val="000000">
                    <a:lumMod val="65000"/>
                    <a:lumOff val="35000"/>
                  </a:srgbClr>
                </a:solidFill>
              </a:rPr>
              <a:t>strongest follower or app download growth</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'Task-5'!$M$34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348-42EF-A242-107B6B541F5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348-42EF-A242-107B6B541F5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348-42EF-A242-107B6B541F5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348-42EF-A242-107B6B541F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'Task-5'!$L$35:$L$39</c:f>
              <c:strCache>
                <c:ptCount val="4"/>
                <c:pt idx="0">
                  <c:v>ChillVibes</c:v>
                </c:pt>
                <c:pt idx="1">
                  <c:v>IndieWave</c:v>
                </c:pt>
                <c:pt idx="2">
                  <c:v>SummerBeats</c:v>
                </c:pt>
                <c:pt idx="3">
                  <c:v>Wrapped2024</c:v>
                </c:pt>
              </c:strCache>
            </c:strRef>
          </c:cat>
          <c:val>
            <c:numRef>
              <c:f>'Task-5'!$M$35:$M$39</c:f>
              <c:numCache>
                <c:formatCode>General</c:formatCode>
                <c:ptCount val="4"/>
                <c:pt idx="0">
                  <c:v>28708</c:v>
                </c:pt>
                <c:pt idx="1">
                  <c:v>18717</c:v>
                </c:pt>
                <c:pt idx="2">
                  <c:v>5557</c:v>
                </c:pt>
                <c:pt idx="3">
                  <c:v>4614</c:v>
                </c:pt>
              </c:numCache>
            </c:numRef>
          </c:val>
          <c:extLst>
            <c:ext xmlns:c16="http://schemas.microsoft.com/office/drawing/2014/chart" uri="{C3380CC4-5D6E-409C-BE32-E72D297353CC}">
              <c16:uniqueId val="{00000000-7E1B-4782-ADF2-7F8BEE2C4E0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 social media performace data .xlsx]Task 6!PivotTable1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Moving average chart to analyze follower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6'!$B$8</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movingAvg"/>
            <c:period val="3"/>
            <c:dispRSqr val="0"/>
            <c:dispEq val="0"/>
          </c:trendline>
          <c:trendline>
            <c:spPr>
              <a:ln w="28575" cap="sq">
                <a:solidFill>
                  <a:srgbClr val="FF0000"/>
                </a:solidFill>
                <a:prstDash val="sysDash"/>
                <a:headEnd type="arrow"/>
              </a:ln>
              <a:effectLst>
                <a:outerShdw dist="76200" dir="5400000" sx="1000" sy="1000" algn="ctr" rotWithShape="0">
                  <a:srgbClr val="000000">
                    <a:alpha val="50000"/>
                  </a:srgbClr>
                </a:outerShdw>
              </a:effectLst>
            </c:spPr>
            <c:trendlineType val="movingAvg"/>
            <c:period val="3"/>
            <c:dispRSqr val="0"/>
            <c:dispEq val="0"/>
          </c:trendline>
          <c:trendline>
            <c:spPr>
              <a:ln w="19050" cap="rnd">
                <a:solidFill>
                  <a:schemeClr val="accent1"/>
                </a:solidFill>
                <a:prstDash val="sysDot"/>
              </a:ln>
              <a:effectLst/>
            </c:spPr>
            <c:trendlineType val="movingAvg"/>
            <c:period val="2"/>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'Task 6'!$A$9:$A$85</c:f>
              <c:strCache>
                <c:ptCount val="77"/>
                <c:pt idx="0">
                  <c:v>5/6/2024 - 5/12/2024</c:v>
                </c:pt>
                <c:pt idx="1">
                  <c:v>10/7/2024 - 10/13/2024</c:v>
                </c:pt>
                <c:pt idx="2">
                  <c:v>1/8/2024 - 1/14/2024</c:v>
                </c:pt>
                <c:pt idx="3">
                  <c:v>4/1/2024 - 4/7/2024</c:v>
                </c:pt>
                <c:pt idx="4">
                  <c:v>3/17/2025 - 3/23/2025</c:v>
                </c:pt>
                <c:pt idx="5">
                  <c:v>8/26/2024 - 9/1/2024</c:v>
                </c:pt>
                <c:pt idx="6">
                  <c:v>3/3/2025 - 3/9/2025</c:v>
                </c:pt>
                <c:pt idx="7">
                  <c:v>2/19/2024 - 2/25/2024</c:v>
                </c:pt>
                <c:pt idx="8">
                  <c:v>7/8/2024 - 7/14/2024</c:v>
                </c:pt>
                <c:pt idx="9">
                  <c:v>5/26/2025 - 6/1/2025</c:v>
                </c:pt>
                <c:pt idx="10">
                  <c:v>12/2/2024 - 12/8/2024</c:v>
                </c:pt>
                <c:pt idx="11">
                  <c:v>1/13/2025 - 1/19/2025</c:v>
                </c:pt>
                <c:pt idx="12">
                  <c:v>2/3/2025 - 2/9/2025</c:v>
                </c:pt>
                <c:pt idx="13">
                  <c:v>5/12/2025 - 5/18/2025</c:v>
                </c:pt>
                <c:pt idx="14">
                  <c:v>12/30/2024 - 1/5/2025</c:v>
                </c:pt>
                <c:pt idx="15">
                  <c:v>9/2/2024 - 9/8/2024</c:v>
                </c:pt>
                <c:pt idx="16">
                  <c:v>6/16/2025 - 6/22/2025</c:v>
                </c:pt>
                <c:pt idx="17">
                  <c:v>1/27/2025 - 2/2/2025</c:v>
                </c:pt>
                <c:pt idx="18">
                  <c:v>10/14/2024 - 10/20/2024</c:v>
                </c:pt>
                <c:pt idx="19">
                  <c:v>4/28/2025 - 5/4/2025</c:v>
                </c:pt>
                <c:pt idx="20">
                  <c:v>12/9/2024 - 12/15/2024</c:v>
                </c:pt>
                <c:pt idx="21">
                  <c:v>11/18/2024 - 11/24/2024</c:v>
                </c:pt>
                <c:pt idx="22">
                  <c:v>1/20/2025 - 1/26/2025</c:v>
                </c:pt>
                <c:pt idx="23">
                  <c:v>2/12/2024 - 2/18/2024</c:v>
                </c:pt>
                <c:pt idx="24">
                  <c:v>1/6/2025 - 1/12/2025</c:v>
                </c:pt>
                <c:pt idx="25">
                  <c:v>6/3/2024 - 6/9/2024</c:v>
                </c:pt>
                <c:pt idx="26">
                  <c:v>3/18/2024 - 3/24/2024</c:v>
                </c:pt>
                <c:pt idx="27">
                  <c:v>11/4/2024 - 11/10/2024</c:v>
                </c:pt>
                <c:pt idx="28">
                  <c:v>5/5/2025 - 5/11/2025</c:v>
                </c:pt>
                <c:pt idx="29">
                  <c:v>11/11/2024 - 11/17/2024</c:v>
                </c:pt>
                <c:pt idx="30">
                  <c:v>7/15/2024 - 7/21/2024</c:v>
                </c:pt>
                <c:pt idx="31">
                  <c:v>11/25/2024 - 12/1/2024</c:v>
                </c:pt>
                <c:pt idx="32">
                  <c:v>2/17/2025 - 2/23/2025</c:v>
                </c:pt>
                <c:pt idx="33">
                  <c:v>8/5/2024 - 8/11/2024</c:v>
                </c:pt>
                <c:pt idx="34">
                  <c:v>6/10/2024 - 6/16/2024</c:v>
                </c:pt>
                <c:pt idx="35">
                  <c:v>2/5/2024 - 2/11/2024</c:v>
                </c:pt>
                <c:pt idx="36">
                  <c:v>7/1/2024 - 7/7/2024</c:v>
                </c:pt>
                <c:pt idx="37">
                  <c:v>8/12/2024 - 8/18/2024</c:v>
                </c:pt>
                <c:pt idx="38">
                  <c:v>4/14/2025 - 4/20/2025</c:v>
                </c:pt>
                <c:pt idx="39">
                  <c:v>1/29/2024 - 2/4/2024</c:v>
                </c:pt>
                <c:pt idx="40">
                  <c:v>9/9/2024 - 9/15/2024</c:v>
                </c:pt>
                <c:pt idx="41">
                  <c:v>3/25/2024 - 3/31/2024</c:v>
                </c:pt>
                <c:pt idx="42">
                  <c:v>6/9/2025 - 6/15/2025</c:v>
                </c:pt>
                <c:pt idx="43">
                  <c:v>12/16/2024 - 12/22/2024</c:v>
                </c:pt>
                <c:pt idx="44">
                  <c:v>4/21/2025 - 4/27/2025</c:v>
                </c:pt>
                <c:pt idx="45">
                  <c:v>4/15/2024 - 4/21/2024</c:v>
                </c:pt>
                <c:pt idx="46">
                  <c:v>4/7/2025 - 4/13/2025</c:v>
                </c:pt>
                <c:pt idx="47">
                  <c:v>10/21/2024 - 10/27/2024</c:v>
                </c:pt>
                <c:pt idx="48">
                  <c:v>9/23/2024 - 9/29/2024</c:v>
                </c:pt>
                <c:pt idx="49">
                  <c:v>5/13/2024 - 5/19/2024</c:v>
                </c:pt>
                <c:pt idx="50">
                  <c:v>6/17/2024 - 6/23/2024</c:v>
                </c:pt>
                <c:pt idx="51">
                  <c:v>1/22/2024 - 1/28/2024</c:v>
                </c:pt>
                <c:pt idx="52">
                  <c:v>1/1/2024 - 1/7/2024</c:v>
                </c:pt>
                <c:pt idx="53">
                  <c:v>9/30/2024 - 10/6/2024</c:v>
                </c:pt>
                <c:pt idx="54">
                  <c:v>3/11/2024 - 3/17/2024</c:v>
                </c:pt>
                <c:pt idx="55">
                  <c:v>1/15/2024 - 1/21/2024</c:v>
                </c:pt>
                <c:pt idx="56">
                  <c:v>9/16/2024 - 9/22/2024</c:v>
                </c:pt>
                <c:pt idx="57">
                  <c:v>6/24/2024 - 6/30/2024</c:v>
                </c:pt>
                <c:pt idx="58">
                  <c:v>4/8/2024 - 4/14/2024</c:v>
                </c:pt>
                <c:pt idx="59">
                  <c:v>7/22/2024 - 7/28/2024</c:v>
                </c:pt>
                <c:pt idx="60">
                  <c:v>5/27/2024 - 6/2/2024</c:v>
                </c:pt>
                <c:pt idx="61">
                  <c:v>4/29/2024 - 5/5/2024</c:v>
                </c:pt>
                <c:pt idx="62">
                  <c:v>2/10/2025 - 2/16/2025</c:v>
                </c:pt>
                <c:pt idx="63">
                  <c:v>4/22/2024 - 4/28/2024</c:v>
                </c:pt>
                <c:pt idx="64">
                  <c:v>3/4/2024 - 3/10/2024</c:v>
                </c:pt>
                <c:pt idx="65">
                  <c:v>3/31/2025 - 4/6/2025</c:v>
                </c:pt>
                <c:pt idx="66">
                  <c:v>6/2/2025 - 6/8/2025</c:v>
                </c:pt>
                <c:pt idx="67">
                  <c:v>12/23/2024 - 12/29/2024</c:v>
                </c:pt>
                <c:pt idx="68">
                  <c:v>6/23/2025 - 6/29/2025</c:v>
                </c:pt>
                <c:pt idx="69">
                  <c:v>6/30/2025 - 7/2/2025</c:v>
                </c:pt>
                <c:pt idx="70">
                  <c:v>10/28/2024 - 11/3/2024</c:v>
                </c:pt>
                <c:pt idx="71">
                  <c:v>5/19/2025 - 5/25/2025</c:v>
                </c:pt>
                <c:pt idx="72">
                  <c:v>8/19/2024 - 8/25/2024</c:v>
                </c:pt>
                <c:pt idx="73">
                  <c:v>2/26/2024 - 3/3/2024</c:v>
                </c:pt>
                <c:pt idx="74">
                  <c:v>2/24/2025 - 3/2/2025</c:v>
                </c:pt>
                <c:pt idx="75">
                  <c:v>7/29/2024 - 8/4/2024</c:v>
                </c:pt>
                <c:pt idx="76">
                  <c:v>5/20/2024 - 5/26/2024</c:v>
                </c:pt>
              </c:strCache>
            </c:strRef>
          </c:cat>
          <c:val>
            <c:numRef>
              <c:f>'Task 6'!$B$9:$B$85</c:f>
              <c:numCache>
                <c:formatCode>General</c:formatCode>
                <c:ptCount val="77"/>
                <c:pt idx="0">
                  <c:v>1689</c:v>
                </c:pt>
                <c:pt idx="1">
                  <c:v>1684</c:v>
                </c:pt>
                <c:pt idx="2">
                  <c:v>1666</c:v>
                </c:pt>
                <c:pt idx="3">
                  <c:v>1417</c:v>
                </c:pt>
                <c:pt idx="4">
                  <c:v>1368</c:v>
                </c:pt>
                <c:pt idx="5">
                  <c:v>1316</c:v>
                </c:pt>
                <c:pt idx="6">
                  <c:v>1310</c:v>
                </c:pt>
                <c:pt idx="7">
                  <c:v>1300</c:v>
                </c:pt>
                <c:pt idx="8">
                  <c:v>1247</c:v>
                </c:pt>
                <c:pt idx="9">
                  <c:v>1214</c:v>
                </c:pt>
                <c:pt idx="10">
                  <c:v>1199</c:v>
                </c:pt>
                <c:pt idx="11">
                  <c:v>1156</c:v>
                </c:pt>
                <c:pt idx="12">
                  <c:v>1139</c:v>
                </c:pt>
                <c:pt idx="13">
                  <c:v>1107</c:v>
                </c:pt>
                <c:pt idx="14">
                  <c:v>1101</c:v>
                </c:pt>
                <c:pt idx="15">
                  <c:v>1071</c:v>
                </c:pt>
                <c:pt idx="16">
                  <c:v>1065</c:v>
                </c:pt>
                <c:pt idx="17">
                  <c:v>1021</c:v>
                </c:pt>
                <c:pt idx="18">
                  <c:v>974</c:v>
                </c:pt>
                <c:pt idx="19">
                  <c:v>938</c:v>
                </c:pt>
                <c:pt idx="20">
                  <c:v>934</c:v>
                </c:pt>
                <c:pt idx="21">
                  <c:v>922</c:v>
                </c:pt>
                <c:pt idx="22">
                  <c:v>885</c:v>
                </c:pt>
                <c:pt idx="23">
                  <c:v>842</c:v>
                </c:pt>
                <c:pt idx="24">
                  <c:v>837</c:v>
                </c:pt>
                <c:pt idx="25">
                  <c:v>837</c:v>
                </c:pt>
                <c:pt idx="26">
                  <c:v>830</c:v>
                </c:pt>
                <c:pt idx="27">
                  <c:v>818</c:v>
                </c:pt>
                <c:pt idx="28">
                  <c:v>817</c:v>
                </c:pt>
                <c:pt idx="29">
                  <c:v>813</c:v>
                </c:pt>
                <c:pt idx="30">
                  <c:v>811</c:v>
                </c:pt>
                <c:pt idx="31">
                  <c:v>811</c:v>
                </c:pt>
                <c:pt idx="32">
                  <c:v>773</c:v>
                </c:pt>
                <c:pt idx="33">
                  <c:v>750</c:v>
                </c:pt>
                <c:pt idx="34">
                  <c:v>749</c:v>
                </c:pt>
                <c:pt idx="35">
                  <c:v>739</c:v>
                </c:pt>
                <c:pt idx="36">
                  <c:v>739</c:v>
                </c:pt>
                <c:pt idx="37">
                  <c:v>725</c:v>
                </c:pt>
                <c:pt idx="38">
                  <c:v>701</c:v>
                </c:pt>
                <c:pt idx="39">
                  <c:v>695</c:v>
                </c:pt>
                <c:pt idx="40">
                  <c:v>695</c:v>
                </c:pt>
                <c:pt idx="41">
                  <c:v>689</c:v>
                </c:pt>
                <c:pt idx="42">
                  <c:v>681</c:v>
                </c:pt>
                <c:pt idx="43">
                  <c:v>676</c:v>
                </c:pt>
                <c:pt idx="44">
                  <c:v>675</c:v>
                </c:pt>
                <c:pt idx="45">
                  <c:v>669</c:v>
                </c:pt>
                <c:pt idx="46">
                  <c:v>658</c:v>
                </c:pt>
                <c:pt idx="47">
                  <c:v>641</c:v>
                </c:pt>
                <c:pt idx="48">
                  <c:v>604</c:v>
                </c:pt>
                <c:pt idx="49">
                  <c:v>584</c:v>
                </c:pt>
                <c:pt idx="50">
                  <c:v>581</c:v>
                </c:pt>
                <c:pt idx="51">
                  <c:v>576</c:v>
                </c:pt>
                <c:pt idx="52">
                  <c:v>575</c:v>
                </c:pt>
                <c:pt idx="53">
                  <c:v>511</c:v>
                </c:pt>
                <c:pt idx="54">
                  <c:v>476</c:v>
                </c:pt>
                <c:pt idx="55">
                  <c:v>473</c:v>
                </c:pt>
                <c:pt idx="56">
                  <c:v>469</c:v>
                </c:pt>
                <c:pt idx="57">
                  <c:v>465</c:v>
                </c:pt>
                <c:pt idx="58">
                  <c:v>451</c:v>
                </c:pt>
                <c:pt idx="59">
                  <c:v>446</c:v>
                </c:pt>
                <c:pt idx="60">
                  <c:v>435</c:v>
                </c:pt>
                <c:pt idx="61">
                  <c:v>410</c:v>
                </c:pt>
                <c:pt idx="62">
                  <c:v>406</c:v>
                </c:pt>
                <c:pt idx="63">
                  <c:v>396</c:v>
                </c:pt>
                <c:pt idx="64">
                  <c:v>390</c:v>
                </c:pt>
                <c:pt idx="65">
                  <c:v>367</c:v>
                </c:pt>
                <c:pt idx="66">
                  <c:v>327</c:v>
                </c:pt>
                <c:pt idx="67">
                  <c:v>319</c:v>
                </c:pt>
                <c:pt idx="68">
                  <c:v>315</c:v>
                </c:pt>
                <c:pt idx="69">
                  <c:v>307</c:v>
                </c:pt>
                <c:pt idx="70">
                  <c:v>294</c:v>
                </c:pt>
                <c:pt idx="71">
                  <c:v>245</c:v>
                </c:pt>
                <c:pt idx="72">
                  <c:v>222</c:v>
                </c:pt>
                <c:pt idx="73">
                  <c:v>169</c:v>
                </c:pt>
                <c:pt idx="74">
                  <c:v>158</c:v>
                </c:pt>
                <c:pt idx="75">
                  <c:v>122</c:v>
                </c:pt>
                <c:pt idx="76">
                  <c:v>109</c:v>
                </c:pt>
              </c:numCache>
            </c:numRef>
          </c:val>
          <c:smooth val="0"/>
          <c:extLst>
            <c:ext xmlns:c16="http://schemas.microsoft.com/office/drawing/2014/chart" uri="{C3380CC4-5D6E-409C-BE32-E72D297353CC}">
              <c16:uniqueId val="{00000000-4ADA-4B3B-ABCD-456D505AA37E}"/>
            </c:ext>
          </c:extLst>
        </c:ser>
        <c:dLbls>
          <c:showLegendKey val="0"/>
          <c:showVal val="0"/>
          <c:showCatName val="0"/>
          <c:showSerName val="0"/>
          <c:showPercent val="0"/>
          <c:showBubbleSize val="0"/>
        </c:dLbls>
        <c:smooth val="0"/>
        <c:axId val="809664623"/>
        <c:axId val="809682383"/>
      </c:lineChart>
      <c:catAx>
        <c:axId val="80966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682383"/>
        <c:crosses val="autoZero"/>
        <c:auto val="1"/>
        <c:lblAlgn val="ctr"/>
        <c:lblOffset val="100"/>
        <c:noMultiLvlLbl val="0"/>
      </c:catAx>
      <c:valAx>
        <c:axId val="809682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66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https://d.docs.live.net/78da17289258ddc3/Desktop/project_spotify/Spotify%20social%20media%20performace%20data%20.xlsx" TargetMode="Externa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7</xdr:col>
      <xdr:colOff>146050</xdr:colOff>
      <xdr:row>2</xdr:row>
      <xdr:rowOff>50800</xdr:rowOff>
    </xdr:from>
    <xdr:to>
      <xdr:col>15</xdr:col>
      <xdr:colOff>158750</xdr:colOff>
      <xdr:row>5</xdr:row>
      <xdr:rowOff>12700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F2B73356-5528-03B2-8673-E4C13388C0AF}"/>
            </a:ext>
          </a:extLst>
        </xdr:cNvPr>
        <xdr:cNvSpPr txBox="1"/>
      </xdr:nvSpPr>
      <xdr:spPr>
        <a:xfrm>
          <a:off x="4413250" y="419100"/>
          <a:ext cx="4889500" cy="5143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https://www.awesomescreenshot.com/video/49641058?key=baa3f2e32004297d4e7820db40dceaa4</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467982</xdr:colOff>
      <xdr:row>3</xdr:row>
      <xdr:rowOff>141465</xdr:rowOff>
    </xdr:from>
    <xdr:to>
      <xdr:col>1</xdr:col>
      <xdr:colOff>1737263</xdr:colOff>
      <xdr:row>8</xdr:row>
      <xdr:rowOff>79374</xdr:rowOff>
    </xdr:to>
    <xdr:sp macro="" textlink="">
      <xdr:nvSpPr>
        <xdr:cNvPr id="2" name="TextBox 1">
          <a:extLst>
            <a:ext uri="{FF2B5EF4-FFF2-40B4-BE49-F238E27FC236}">
              <a16:creationId xmlns:a16="http://schemas.microsoft.com/office/drawing/2014/main" id="{EDA539AB-0A06-9848-9880-213D83D3E6FD}"/>
            </a:ext>
          </a:extLst>
        </xdr:cNvPr>
        <xdr:cNvSpPr txBox="1"/>
      </xdr:nvSpPr>
      <xdr:spPr>
        <a:xfrm>
          <a:off x="467982" y="690984"/>
          <a:ext cx="2130194" cy="8537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Calculate Engagement Rate per platform: (Likes + Comments + Shares) / Impressions </a:t>
          </a:r>
        </a:p>
      </xdr:txBody>
    </xdr:sp>
    <xdr:clientData/>
  </xdr:twoCellAnchor>
  <xdr:twoCellAnchor>
    <xdr:from>
      <xdr:col>3</xdr:col>
      <xdr:colOff>914701</xdr:colOff>
      <xdr:row>4</xdr:row>
      <xdr:rowOff>31503</xdr:rowOff>
    </xdr:from>
    <xdr:to>
      <xdr:col>6</xdr:col>
      <xdr:colOff>1081011</xdr:colOff>
      <xdr:row>7</xdr:row>
      <xdr:rowOff>46622</xdr:rowOff>
    </xdr:to>
    <xdr:sp macro="" textlink="">
      <xdr:nvSpPr>
        <xdr:cNvPr id="3" name="TextBox 2">
          <a:extLst>
            <a:ext uri="{FF2B5EF4-FFF2-40B4-BE49-F238E27FC236}">
              <a16:creationId xmlns:a16="http://schemas.microsoft.com/office/drawing/2014/main" id="{5F28D08B-CEFA-4C69-8F62-57C1302A69A3}"/>
            </a:ext>
          </a:extLst>
        </xdr:cNvPr>
        <xdr:cNvSpPr txBox="1"/>
      </xdr:nvSpPr>
      <xdr:spPr>
        <a:xfrm>
          <a:off x="5456715" y="772336"/>
          <a:ext cx="2997352" cy="57074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Likes, Shares, Comments by Content Type (e.g., Text, Story) and Platform .</a:t>
          </a:r>
        </a:p>
      </xdr:txBody>
    </xdr:sp>
    <xdr:clientData/>
  </xdr:twoCellAnchor>
  <xdr:twoCellAnchor>
    <xdr:from>
      <xdr:col>9</xdr:col>
      <xdr:colOff>438457</xdr:colOff>
      <xdr:row>4</xdr:row>
      <xdr:rowOff>46623</xdr:rowOff>
    </xdr:from>
    <xdr:to>
      <xdr:col>10</xdr:col>
      <xdr:colOff>710599</xdr:colOff>
      <xdr:row>7</xdr:row>
      <xdr:rowOff>23944</xdr:rowOff>
    </xdr:to>
    <xdr:sp macro="" textlink="">
      <xdr:nvSpPr>
        <xdr:cNvPr id="4" name="TextBox 3">
          <a:extLst>
            <a:ext uri="{FF2B5EF4-FFF2-40B4-BE49-F238E27FC236}">
              <a16:creationId xmlns:a16="http://schemas.microsoft.com/office/drawing/2014/main" id="{0F463EB4-5E87-4B2A-BA43-E053D784380C}"/>
            </a:ext>
          </a:extLst>
        </xdr:cNvPr>
        <xdr:cNvSpPr txBox="1"/>
      </xdr:nvSpPr>
      <xdr:spPr>
        <a:xfrm>
          <a:off x="10519082" y="787456"/>
          <a:ext cx="1515684" cy="53294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Average Clicks per post by Hashtag.</a:t>
          </a:r>
        </a:p>
      </xdr:txBody>
    </xdr:sp>
    <xdr:clientData/>
  </xdr:twoCellAnchor>
  <xdr:twoCellAnchor>
    <xdr:from>
      <xdr:col>0</xdr:col>
      <xdr:colOff>176646</xdr:colOff>
      <xdr:row>24</xdr:row>
      <xdr:rowOff>63886</xdr:rowOff>
    </xdr:from>
    <xdr:to>
      <xdr:col>2</xdr:col>
      <xdr:colOff>620668</xdr:colOff>
      <xdr:row>27</xdr:row>
      <xdr:rowOff>5152</xdr:rowOff>
    </xdr:to>
    <xdr:sp macro="" textlink="">
      <xdr:nvSpPr>
        <xdr:cNvPr id="5" name="TextBox 4">
          <a:extLst>
            <a:ext uri="{FF2B5EF4-FFF2-40B4-BE49-F238E27FC236}">
              <a16:creationId xmlns:a16="http://schemas.microsoft.com/office/drawing/2014/main" id="{F4ACC03C-0402-4358-A766-0B3D965EEBE5}"/>
            </a:ext>
          </a:extLst>
        </xdr:cNvPr>
        <xdr:cNvSpPr txBox="1"/>
      </xdr:nvSpPr>
      <xdr:spPr>
        <a:xfrm>
          <a:off x="176646" y="4494119"/>
          <a:ext cx="3810999" cy="49504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Highlight Top-performing hashtags using ranking formulas </a:t>
          </a:r>
        </a:p>
      </xdr:txBody>
    </xdr:sp>
    <xdr:clientData/>
  </xdr:twoCellAnchor>
  <xdr:twoCellAnchor>
    <xdr:from>
      <xdr:col>1</xdr:col>
      <xdr:colOff>202845</xdr:colOff>
      <xdr:row>1</xdr:row>
      <xdr:rowOff>149927</xdr:rowOff>
    </xdr:from>
    <xdr:to>
      <xdr:col>1</xdr:col>
      <xdr:colOff>947562</xdr:colOff>
      <xdr:row>3</xdr:row>
      <xdr:rowOff>47870</xdr:rowOff>
    </xdr:to>
    <xdr:sp macro="" textlink="">
      <xdr:nvSpPr>
        <xdr:cNvPr id="6" name="TextBox 5">
          <a:extLst>
            <a:ext uri="{FF2B5EF4-FFF2-40B4-BE49-F238E27FC236}">
              <a16:creationId xmlns:a16="http://schemas.microsoft.com/office/drawing/2014/main" id="{70906070-915C-4517-82E2-9152DE8C8C36}"/>
            </a:ext>
          </a:extLst>
        </xdr:cNvPr>
        <xdr:cNvSpPr txBox="1"/>
      </xdr:nvSpPr>
      <xdr:spPr>
        <a:xfrm>
          <a:off x="1164164" y="335135"/>
          <a:ext cx="744717" cy="26836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Task-2.1</a:t>
          </a:r>
        </a:p>
      </xdr:txBody>
    </xdr:sp>
    <xdr:clientData/>
  </xdr:twoCellAnchor>
  <xdr:twoCellAnchor>
    <xdr:from>
      <xdr:col>5</xdr:col>
      <xdr:colOff>0</xdr:colOff>
      <xdr:row>2</xdr:row>
      <xdr:rowOff>61733</xdr:rowOff>
    </xdr:from>
    <xdr:to>
      <xdr:col>5</xdr:col>
      <xdr:colOff>744717</xdr:colOff>
      <xdr:row>3</xdr:row>
      <xdr:rowOff>144885</xdr:rowOff>
    </xdr:to>
    <xdr:sp macro="" textlink="">
      <xdr:nvSpPr>
        <xdr:cNvPr id="7" name="TextBox 6">
          <a:extLst>
            <a:ext uri="{FF2B5EF4-FFF2-40B4-BE49-F238E27FC236}">
              <a16:creationId xmlns:a16="http://schemas.microsoft.com/office/drawing/2014/main" id="{4224A26B-60EF-4BE8-82D8-7F958DDBFF15}"/>
            </a:ext>
          </a:extLst>
        </xdr:cNvPr>
        <xdr:cNvSpPr txBox="1"/>
      </xdr:nvSpPr>
      <xdr:spPr>
        <a:xfrm>
          <a:off x="6552847" y="432150"/>
          <a:ext cx="744717" cy="26836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Task-2.3</a:t>
          </a:r>
        </a:p>
      </xdr:txBody>
    </xdr:sp>
    <xdr:clientData/>
  </xdr:twoCellAnchor>
  <xdr:twoCellAnchor>
    <xdr:from>
      <xdr:col>9</xdr:col>
      <xdr:colOff>734465</xdr:colOff>
      <xdr:row>2</xdr:row>
      <xdr:rowOff>46566</xdr:rowOff>
    </xdr:from>
    <xdr:to>
      <xdr:col>10</xdr:col>
      <xdr:colOff>235640</xdr:colOff>
      <xdr:row>3</xdr:row>
      <xdr:rowOff>129718</xdr:rowOff>
    </xdr:to>
    <xdr:sp macro="" textlink="">
      <xdr:nvSpPr>
        <xdr:cNvPr id="8" name="TextBox 7">
          <a:extLst>
            <a:ext uri="{FF2B5EF4-FFF2-40B4-BE49-F238E27FC236}">
              <a16:creationId xmlns:a16="http://schemas.microsoft.com/office/drawing/2014/main" id="{5A82DB8D-004B-4484-8237-B2E9E4C15EAD}"/>
            </a:ext>
          </a:extLst>
        </xdr:cNvPr>
        <xdr:cNvSpPr txBox="1"/>
      </xdr:nvSpPr>
      <xdr:spPr>
        <a:xfrm>
          <a:off x="10815090" y="416983"/>
          <a:ext cx="744717" cy="26836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Task-2.4</a:t>
          </a:r>
        </a:p>
      </xdr:txBody>
    </xdr:sp>
    <xdr:clientData/>
  </xdr:twoCellAnchor>
  <xdr:twoCellAnchor>
    <xdr:from>
      <xdr:col>0</xdr:col>
      <xdr:colOff>354419</xdr:colOff>
      <xdr:row>15</xdr:row>
      <xdr:rowOff>110756</xdr:rowOff>
    </xdr:from>
    <xdr:to>
      <xdr:col>1</xdr:col>
      <xdr:colOff>1720407</xdr:colOff>
      <xdr:row>20</xdr:row>
      <xdr:rowOff>66454</xdr:rowOff>
    </xdr:to>
    <xdr:sp macro="" textlink="">
      <xdr:nvSpPr>
        <xdr:cNvPr id="9" name="TextBox 8">
          <a:extLst>
            <a:ext uri="{FF2B5EF4-FFF2-40B4-BE49-F238E27FC236}">
              <a16:creationId xmlns:a16="http://schemas.microsoft.com/office/drawing/2014/main" id="{AAD9D8E5-EF52-6377-4843-B53D3AB37B20}"/>
            </a:ext>
          </a:extLst>
        </xdr:cNvPr>
        <xdr:cNvSpPr txBox="1"/>
      </xdr:nvSpPr>
      <xdr:spPr>
        <a:xfrm>
          <a:off x="354419" y="2879651"/>
          <a:ext cx="2333255" cy="87866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Twitter has the highest engagement rate, Instagram is close behind, and YouTube has the lowest</a:t>
          </a:r>
          <a:endParaRPr lang="en-US" sz="1100" b="1"/>
        </a:p>
      </xdr:txBody>
    </xdr:sp>
    <xdr:clientData/>
  </xdr:twoCellAnchor>
  <xdr:twoCellAnchor>
    <xdr:from>
      <xdr:col>3</xdr:col>
      <xdr:colOff>287965</xdr:colOff>
      <xdr:row>21</xdr:row>
      <xdr:rowOff>81221</xdr:rowOff>
    </xdr:from>
    <xdr:to>
      <xdr:col>7</xdr:col>
      <xdr:colOff>457791</xdr:colOff>
      <xdr:row>25</xdr:row>
      <xdr:rowOff>147674</xdr:rowOff>
    </xdr:to>
    <xdr:sp macro="" textlink="">
      <xdr:nvSpPr>
        <xdr:cNvPr id="10" name="TextBox 9">
          <a:extLst>
            <a:ext uri="{FF2B5EF4-FFF2-40B4-BE49-F238E27FC236}">
              <a16:creationId xmlns:a16="http://schemas.microsoft.com/office/drawing/2014/main" id="{57B884BD-2076-6623-DE87-989BD195B898}"/>
            </a:ext>
          </a:extLst>
        </xdr:cNvPr>
        <xdr:cNvSpPr txBox="1"/>
      </xdr:nvSpPr>
      <xdr:spPr>
        <a:xfrm>
          <a:off x="4836337" y="3957674"/>
          <a:ext cx="4186570" cy="80482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Content performance varies by platform, so Spotify should use different content types for each platform to get better engagement</a:t>
          </a:r>
        </a:p>
      </xdr:txBody>
    </xdr:sp>
    <xdr:clientData/>
  </xdr:twoCellAnchor>
  <xdr:twoCellAnchor>
    <xdr:from>
      <xdr:col>9</xdr:col>
      <xdr:colOff>119713</xdr:colOff>
      <xdr:row>16</xdr:row>
      <xdr:rowOff>15615</xdr:rowOff>
    </xdr:from>
    <xdr:to>
      <xdr:col>11</xdr:col>
      <xdr:colOff>26025</xdr:colOff>
      <xdr:row>20</xdr:row>
      <xdr:rowOff>114508</xdr:rowOff>
    </xdr:to>
    <xdr:sp macro="" textlink="">
      <xdr:nvSpPr>
        <xdr:cNvPr id="11" name="TextBox 10">
          <a:extLst>
            <a:ext uri="{FF2B5EF4-FFF2-40B4-BE49-F238E27FC236}">
              <a16:creationId xmlns:a16="http://schemas.microsoft.com/office/drawing/2014/main" id="{18FADF1A-1BD2-44BA-E711-A072DE4EAB53}"/>
            </a:ext>
          </a:extLst>
        </xdr:cNvPr>
        <xdr:cNvSpPr txBox="1"/>
      </xdr:nvSpPr>
      <xdr:spPr>
        <a:xfrm>
          <a:off x="10206844" y="2930369"/>
          <a:ext cx="2243320" cy="82758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Posts with #DiscoverWeekly and #SoundtrackOfLife get the most clicks, while #MusicForEveryone gets fewer</a:t>
          </a:r>
        </a:p>
      </xdr:txBody>
    </xdr:sp>
    <xdr:clientData/>
  </xdr:twoCellAnchor>
  <xdr:twoCellAnchor>
    <xdr:from>
      <xdr:col>1</xdr:col>
      <xdr:colOff>697720</xdr:colOff>
      <xdr:row>22</xdr:row>
      <xdr:rowOff>101910</xdr:rowOff>
    </xdr:from>
    <xdr:to>
      <xdr:col>1</xdr:col>
      <xdr:colOff>1445376</xdr:colOff>
      <xdr:row>24</xdr:row>
      <xdr:rowOff>4754</xdr:rowOff>
    </xdr:to>
    <xdr:sp macro="" textlink="">
      <xdr:nvSpPr>
        <xdr:cNvPr id="12" name="TextBox 11">
          <a:extLst>
            <a:ext uri="{FF2B5EF4-FFF2-40B4-BE49-F238E27FC236}">
              <a16:creationId xmlns:a16="http://schemas.microsoft.com/office/drawing/2014/main" id="{489F96C0-4DAB-48C4-8580-14AFBF29F644}"/>
            </a:ext>
          </a:extLst>
        </xdr:cNvPr>
        <xdr:cNvSpPr txBox="1"/>
      </xdr:nvSpPr>
      <xdr:spPr>
        <a:xfrm>
          <a:off x="1661979" y="4068700"/>
          <a:ext cx="747656" cy="26346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Task-2.5</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387301</xdr:colOff>
      <xdr:row>0</xdr:row>
      <xdr:rowOff>21353</xdr:rowOff>
    </xdr:from>
    <xdr:to>
      <xdr:col>10</xdr:col>
      <xdr:colOff>785852</xdr:colOff>
      <xdr:row>7</xdr:row>
      <xdr:rowOff>119801</xdr:rowOff>
    </xdr:to>
    <xdr:sp macro="" textlink="">
      <xdr:nvSpPr>
        <xdr:cNvPr id="2" name="TextBox 1">
          <a:extLst>
            <a:ext uri="{FF2B5EF4-FFF2-40B4-BE49-F238E27FC236}">
              <a16:creationId xmlns:a16="http://schemas.microsoft.com/office/drawing/2014/main" id="{8C4FC868-FBA1-7817-F3EB-179806BC26F1}"/>
            </a:ext>
          </a:extLst>
        </xdr:cNvPr>
        <xdr:cNvSpPr txBox="1"/>
      </xdr:nvSpPr>
      <xdr:spPr>
        <a:xfrm>
          <a:off x="9158911" y="21353"/>
          <a:ext cx="1733127" cy="137921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Net_Growth=</a:t>
          </a:r>
          <a:r>
            <a:rPr lang="en-US" sz="1100" b="1" baseline="0"/>
            <a:t> (New_followers - </a:t>
          </a:r>
          <a:r>
            <a:rPr lang="en-US" sz="1100" b="1" i="0" u="none" strike="noStrike">
              <a:solidFill>
                <a:schemeClr val="dk1"/>
              </a:solidFill>
              <a:effectLst/>
              <a:latin typeface="+mn-lt"/>
              <a:ea typeface="+mn-ea"/>
              <a:cs typeface="+mn-cs"/>
            </a:rPr>
            <a:t>Unfollows</a:t>
          </a:r>
          <a:r>
            <a:rPr lang="en-US" b="1">
              <a:effectLst/>
            </a:rPr>
            <a:t> </a:t>
          </a:r>
          <a:r>
            <a:rPr lang="en-US" sz="1100" b="1" baseline="0"/>
            <a:t>)</a:t>
          </a:r>
        </a:p>
        <a:p>
          <a:pPr algn="ctr"/>
          <a:endParaRPr lang="en-US" sz="1100" b="1" baseline="0"/>
        </a:p>
        <a:p>
          <a:pPr algn="ctr"/>
          <a:r>
            <a:rPr lang="en-US" sz="1100" b="1" i="0" u="none" strike="noStrike">
              <a:solidFill>
                <a:schemeClr val="dk1"/>
              </a:solidFill>
              <a:effectLst/>
              <a:latin typeface="+mn-lt"/>
              <a:ea typeface="+mn-ea"/>
              <a:cs typeface="+mn-cs"/>
            </a:rPr>
            <a:t>Growth_Rate=Net_Growth</a:t>
          </a:r>
          <a:r>
            <a:rPr lang="en-US" b="1">
              <a:effectLst/>
            </a:rPr>
            <a:t>  / </a:t>
          </a:r>
          <a:r>
            <a:rPr lang="en-US" sz="1100" b="1" i="0" u="none" strike="noStrike">
              <a:solidFill>
                <a:schemeClr val="dk1"/>
              </a:solidFill>
              <a:effectLst/>
              <a:latin typeface="+mn-lt"/>
              <a:ea typeface="+mn-ea"/>
              <a:cs typeface="+mn-cs"/>
            </a:rPr>
            <a:t>Total_Followers</a:t>
          </a:r>
          <a:r>
            <a:rPr lang="en-US" b="1">
              <a:effectLst/>
            </a:rPr>
            <a:t> </a:t>
          </a:r>
        </a:p>
        <a:p>
          <a:pPr algn="ctr"/>
          <a:endParaRPr lang="en-US" sz="1100" b="0">
            <a:effectLst/>
          </a:endParaRPr>
        </a:p>
        <a:p>
          <a:pPr algn="ctr"/>
          <a:r>
            <a:rPr lang="en-US" sz="1100" b="1" i="0" u="none" strike="noStrike">
              <a:solidFill>
                <a:schemeClr val="dk1"/>
              </a:solidFill>
              <a:effectLst/>
              <a:latin typeface="+mn-lt"/>
              <a:ea typeface="+mn-ea"/>
              <a:cs typeface="+mn-cs"/>
            </a:rPr>
            <a:t>Cost_per_Engagement</a:t>
          </a:r>
          <a:r>
            <a:rPr lang="en-US" b="1">
              <a:effectLst/>
            </a:rPr>
            <a:t> =</a:t>
          </a:r>
          <a:r>
            <a:rPr lang="en-US" b="1"/>
            <a:t>Ad_Spend / (Likes + Shares + Comments)</a:t>
          </a:r>
          <a:endParaRPr lang="en-US" sz="1100" b="1"/>
        </a:p>
      </xdr:txBody>
    </xdr:sp>
    <xdr:clientData/>
  </xdr:twoCellAnchor>
  <xdr:twoCellAnchor>
    <xdr:from>
      <xdr:col>10</xdr:col>
      <xdr:colOff>1521985</xdr:colOff>
      <xdr:row>6</xdr:row>
      <xdr:rowOff>97256</xdr:rowOff>
    </xdr:from>
    <xdr:to>
      <xdr:col>13</xdr:col>
      <xdr:colOff>10080</xdr:colOff>
      <xdr:row>9</xdr:row>
      <xdr:rowOff>98740</xdr:rowOff>
    </xdr:to>
    <xdr:sp macro="" textlink="">
      <xdr:nvSpPr>
        <xdr:cNvPr id="3" name="TextBox 2">
          <a:extLst>
            <a:ext uri="{FF2B5EF4-FFF2-40B4-BE49-F238E27FC236}">
              <a16:creationId xmlns:a16="http://schemas.microsoft.com/office/drawing/2014/main" id="{A9E02D15-1BA4-46E6-B9B2-47070EA39F1A}"/>
            </a:ext>
          </a:extLst>
        </xdr:cNvPr>
        <xdr:cNvSpPr txBox="1"/>
      </xdr:nvSpPr>
      <xdr:spPr>
        <a:xfrm>
          <a:off x="11628171" y="1195053"/>
          <a:ext cx="2534875" cy="55038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Compare weekly follower growth rates across platforms</a:t>
          </a:r>
          <a:endParaRPr lang="en-US" sz="1200" b="1"/>
        </a:p>
      </xdr:txBody>
    </xdr:sp>
    <xdr:clientData/>
  </xdr:twoCellAnchor>
  <xdr:twoCellAnchor>
    <xdr:from>
      <xdr:col>11</xdr:col>
      <xdr:colOff>883559</xdr:colOff>
      <xdr:row>4</xdr:row>
      <xdr:rowOff>96125</xdr:rowOff>
    </xdr:from>
    <xdr:to>
      <xdr:col>12</xdr:col>
      <xdr:colOff>660657</xdr:colOff>
      <xdr:row>6</xdr:row>
      <xdr:rowOff>1628</xdr:rowOff>
    </xdr:to>
    <xdr:sp macro="" textlink="">
      <xdr:nvSpPr>
        <xdr:cNvPr id="4" name="TextBox 3">
          <a:extLst>
            <a:ext uri="{FF2B5EF4-FFF2-40B4-BE49-F238E27FC236}">
              <a16:creationId xmlns:a16="http://schemas.microsoft.com/office/drawing/2014/main" id="{9F50FA7A-4C9B-4497-AE63-91AEC7A8B7F7}"/>
            </a:ext>
          </a:extLst>
        </xdr:cNvPr>
        <xdr:cNvSpPr txBox="1"/>
      </xdr:nvSpPr>
      <xdr:spPr>
        <a:xfrm>
          <a:off x="12528813" y="827989"/>
          <a:ext cx="745742" cy="27143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Task-3.2</a:t>
          </a:r>
        </a:p>
      </xdr:txBody>
    </xdr:sp>
    <xdr:clientData/>
  </xdr:twoCellAnchor>
  <xdr:twoCellAnchor>
    <xdr:from>
      <xdr:col>11</xdr:col>
      <xdr:colOff>955427</xdr:colOff>
      <xdr:row>24</xdr:row>
      <xdr:rowOff>16471</xdr:rowOff>
    </xdr:from>
    <xdr:to>
      <xdr:col>12</xdr:col>
      <xdr:colOff>709083</xdr:colOff>
      <xdr:row>25</xdr:row>
      <xdr:rowOff>95250</xdr:rowOff>
    </xdr:to>
    <xdr:sp macro="" textlink="">
      <xdr:nvSpPr>
        <xdr:cNvPr id="6" name="TextBox 5">
          <a:extLst>
            <a:ext uri="{FF2B5EF4-FFF2-40B4-BE49-F238E27FC236}">
              <a16:creationId xmlns:a16="http://schemas.microsoft.com/office/drawing/2014/main" id="{5A245B0F-4863-4051-9DB1-0A10E6F0A745}"/>
            </a:ext>
          </a:extLst>
        </xdr:cNvPr>
        <xdr:cNvSpPr txBox="1"/>
      </xdr:nvSpPr>
      <xdr:spPr>
        <a:xfrm>
          <a:off x="12935760" y="4419138"/>
          <a:ext cx="727323" cy="27986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Task-3.3</a:t>
          </a:r>
        </a:p>
      </xdr:txBody>
    </xdr:sp>
    <xdr:clientData/>
  </xdr:twoCellAnchor>
  <xdr:twoCellAnchor>
    <xdr:from>
      <xdr:col>11</xdr:col>
      <xdr:colOff>75780</xdr:colOff>
      <xdr:row>25</xdr:row>
      <xdr:rowOff>152207</xdr:rowOff>
    </xdr:from>
    <xdr:to>
      <xdr:col>12</xdr:col>
      <xdr:colOff>1307021</xdr:colOff>
      <xdr:row>28</xdr:row>
      <xdr:rowOff>106581</xdr:rowOff>
    </xdr:to>
    <xdr:sp macro="" textlink="">
      <xdr:nvSpPr>
        <xdr:cNvPr id="7" name="TextBox 6">
          <a:extLst>
            <a:ext uri="{FF2B5EF4-FFF2-40B4-BE49-F238E27FC236}">
              <a16:creationId xmlns:a16="http://schemas.microsoft.com/office/drawing/2014/main" id="{8F1B5357-5C3A-4540-8F40-5B2C4E8B2010}"/>
            </a:ext>
          </a:extLst>
        </xdr:cNvPr>
        <xdr:cNvSpPr txBox="1"/>
      </xdr:nvSpPr>
      <xdr:spPr>
        <a:xfrm>
          <a:off x="12056113" y="4755957"/>
          <a:ext cx="2204908" cy="55762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Visualize Ad Spend vs. Engagement using charts </a:t>
          </a:r>
        </a:p>
      </xdr:txBody>
    </xdr:sp>
    <xdr:clientData/>
  </xdr:twoCellAnchor>
  <xdr:twoCellAnchor>
    <xdr:from>
      <xdr:col>17</xdr:col>
      <xdr:colOff>297295</xdr:colOff>
      <xdr:row>5</xdr:row>
      <xdr:rowOff>69542</xdr:rowOff>
    </xdr:from>
    <xdr:to>
      <xdr:col>19</xdr:col>
      <xdr:colOff>1437415</xdr:colOff>
      <xdr:row>7</xdr:row>
      <xdr:rowOff>45803</xdr:rowOff>
    </xdr:to>
    <xdr:sp macro="" textlink="">
      <xdr:nvSpPr>
        <xdr:cNvPr id="8" name="TextBox 7">
          <a:extLst>
            <a:ext uri="{FF2B5EF4-FFF2-40B4-BE49-F238E27FC236}">
              <a16:creationId xmlns:a16="http://schemas.microsoft.com/office/drawing/2014/main" id="{005B59A8-3960-448B-B09B-72E92A116E19}"/>
            </a:ext>
          </a:extLst>
        </xdr:cNvPr>
        <xdr:cNvSpPr txBox="1"/>
      </xdr:nvSpPr>
      <xdr:spPr>
        <a:xfrm>
          <a:off x="18529329" y="984373"/>
          <a:ext cx="3690883" cy="34219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Determine which platform yields highest engagement </a:t>
          </a:r>
        </a:p>
      </xdr:txBody>
    </xdr:sp>
    <xdr:clientData/>
  </xdr:twoCellAnchor>
  <xdr:twoCellAnchor>
    <xdr:from>
      <xdr:col>18</xdr:col>
      <xdr:colOff>383016</xdr:colOff>
      <xdr:row>3</xdr:row>
      <xdr:rowOff>53643</xdr:rowOff>
    </xdr:from>
    <xdr:to>
      <xdr:col>18</xdr:col>
      <xdr:colOff>1310318</xdr:colOff>
      <xdr:row>4</xdr:row>
      <xdr:rowOff>115657</xdr:rowOff>
    </xdr:to>
    <xdr:sp macro="" textlink="">
      <xdr:nvSpPr>
        <xdr:cNvPr id="9" name="TextBox 8">
          <a:extLst>
            <a:ext uri="{FF2B5EF4-FFF2-40B4-BE49-F238E27FC236}">
              <a16:creationId xmlns:a16="http://schemas.microsoft.com/office/drawing/2014/main" id="{5031AA1B-9F35-4D05-8EFB-227D6D3FBC24}"/>
            </a:ext>
          </a:extLst>
        </xdr:cNvPr>
        <xdr:cNvSpPr txBox="1"/>
      </xdr:nvSpPr>
      <xdr:spPr>
        <a:xfrm>
          <a:off x="19766660" y="602541"/>
          <a:ext cx="927302" cy="24498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Task-3.1</a:t>
          </a:r>
        </a:p>
      </xdr:txBody>
    </xdr:sp>
    <xdr:clientData/>
  </xdr:twoCellAnchor>
  <xdr:twoCellAnchor>
    <xdr:from>
      <xdr:col>16</xdr:col>
      <xdr:colOff>797909</xdr:colOff>
      <xdr:row>26</xdr:row>
      <xdr:rowOff>3394</xdr:rowOff>
    </xdr:from>
    <xdr:to>
      <xdr:col>19</xdr:col>
      <xdr:colOff>3630</xdr:colOff>
      <xdr:row>29</xdr:row>
      <xdr:rowOff>109041</xdr:rowOff>
    </xdr:to>
    <xdr:sp macro="" textlink="">
      <xdr:nvSpPr>
        <xdr:cNvPr id="11" name="TextBox 10">
          <a:extLst>
            <a:ext uri="{FF2B5EF4-FFF2-40B4-BE49-F238E27FC236}">
              <a16:creationId xmlns:a16="http://schemas.microsoft.com/office/drawing/2014/main" id="{64530BA2-508B-448E-B1F3-CE1E3026849C}"/>
            </a:ext>
          </a:extLst>
        </xdr:cNvPr>
        <xdr:cNvSpPr txBox="1"/>
      </xdr:nvSpPr>
      <xdr:spPr>
        <a:xfrm>
          <a:off x="18276444" y="4916626"/>
          <a:ext cx="2419206" cy="70216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Recommend focusing on 1–2 platforms or continuing multi-platform justify with data</a:t>
          </a:r>
        </a:p>
      </xdr:txBody>
    </xdr:sp>
    <xdr:clientData/>
  </xdr:twoCellAnchor>
  <xdr:twoCellAnchor>
    <xdr:from>
      <xdr:col>17</xdr:col>
      <xdr:colOff>238105</xdr:colOff>
      <xdr:row>24</xdr:row>
      <xdr:rowOff>116417</xdr:rowOff>
    </xdr:from>
    <xdr:to>
      <xdr:col>18</xdr:col>
      <xdr:colOff>613011</xdr:colOff>
      <xdr:row>25</xdr:row>
      <xdr:rowOff>144526</xdr:rowOff>
    </xdr:to>
    <xdr:sp macro="" textlink="">
      <xdr:nvSpPr>
        <xdr:cNvPr id="12" name="TextBox 11">
          <a:extLst>
            <a:ext uri="{FF2B5EF4-FFF2-40B4-BE49-F238E27FC236}">
              <a16:creationId xmlns:a16="http://schemas.microsoft.com/office/drawing/2014/main" id="{2ED2A738-203E-44A4-9CF4-16B81CA0DFFE}"/>
            </a:ext>
          </a:extLst>
        </xdr:cNvPr>
        <xdr:cNvSpPr txBox="1"/>
      </xdr:nvSpPr>
      <xdr:spPr>
        <a:xfrm>
          <a:off x="19395935" y="4477549"/>
          <a:ext cx="1549057" cy="21980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Task-3.4</a:t>
          </a:r>
        </a:p>
      </xdr:txBody>
    </xdr:sp>
    <xdr:clientData/>
  </xdr:twoCellAnchor>
  <xdr:twoCellAnchor>
    <xdr:from>
      <xdr:col>15</xdr:col>
      <xdr:colOff>31750</xdr:colOff>
      <xdr:row>29</xdr:row>
      <xdr:rowOff>137583</xdr:rowOff>
    </xdr:from>
    <xdr:to>
      <xdr:col>17</xdr:col>
      <xdr:colOff>1995451</xdr:colOff>
      <xdr:row>30</xdr:row>
      <xdr:rowOff>190499</xdr:rowOff>
    </xdr:to>
    <xdr:sp macro="" textlink="">
      <xdr:nvSpPr>
        <xdr:cNvPr id="13" name="TextBox 12">
          <a:extLst>
            <a:ext uri="{FF2B5EF4-FFF2-40B4-BE49-F238E27FC236}">
              <a16:creationId xmlns:a16="http://schemas.microsoft.com/office/drawing/2014/main" id="{3B15FA6B-C672-4127-9647-27520B508F26}"/>
            </a:ext>
          </a:extLst>
        </xdr:cNvPr>
        <xdr:cNvSpPr txBox="1"/>
      </xdr:nvSpPr>
      <xdr:spPr>
        <a:xfrm>
          <a:off x="16615833" y="5545666"/>
          <a:ext cx="3191368" cy="2540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Engagement Pivot Table</a:t>
          </a:r>
        </a:p>
      </xdr:txBody>
    </xdr:sp>
    <xdr:clientData/>
  </xdr:twoCellAnchor>
  <xdr:twoCellAnchor>
    <xdr:from>
      <xdr:col>17</xdr:col>
      <xdr:colOff>907142</xdr:colOff>
      <xdr:row>36</xdr:row>
      <xdr:rowOff>131949</xdr:rowOff>
    </xdr:from>
    <xdr:to>
      <xdr:col>20</xdr:col>
      <xdr:colOff>1707078</xdr:colOff>
      <xdr:row>44</xdr:row>
      <xdr:rowOff>57729</xdr:rowOff>
    </xdr:to>
    <xdr:sp macro="" textlink="">
      <xdr:nvSpPr>
        <xdr:cNvPr id="14" name="TextBox 13">
          <a:extLst>
            <a:ext uri="{FF2B5EF4-FFF2-40B4-BE49-F238E27FC236}">
              <a16:creationId xmlns:a16="http://schemas.microsoft.com/office/drawing/2014/main" id="{B1FBADA3-A9CC-86E7-F788-BD0A9F60033D}"/>
            </a:ext>
          </a:extLst>
        </xdr:cNvPr>
        <xdr:cNvSpPr txBox="1"/>
      </xdr:nvSpPr>
      <xdr:spPr>
        <a:xfrm>
          <a:off x="20839545" y="6927274"/>
          <a:ext cx="5756234" cy="150915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Twitter performs the best</a:t>
          </a:r>
          <a:r>
            <a:rPr lang="en-US" sz="1400"/>
            <a:t>, giving much more engagement at a lower cost than Instagram.</a:t>
          </a:r>
        </a:p>
        <a:p>
          <a:r>
            <a:rPr lang="en-US" sz="1400" b="1"/>
            <a:t>Instagram is best for driving clicks</a:t>
          </a:r>
          <a:r>
            <a:rPr lang="en-US" sz="1400"/>
            <a:t>, as it sends more users into the Spotify app.</a:t>
          </a:r>
        </a:p>
        <a:p>
          <a:r>
            <a:rPr lang="en-US" sz="1400" b="1"/>
            <a:t>YouTube performs the weakest</a:t>
          </a:r>
          <a:r>
            <a:rPr lang="en-US" sz="1400"/>
            <a:t>, with lower engagement and ROI compared to the other platforms.</a:t>
          </a:r>
        </a:p>
        <a:p>
          <a:pPr algn="l"/>
          <a:endParaRPr lang="en-US" sz="1400"/>
        </a:p>
      </xdr:txBody>
    </xdr:sp>
    <xdr:clientData/>
  </xdr:twoCellAnchor>
  <xdr:twoCellAnchor>
    <xdr:from>
      <xdr:col>15</xdr:col>
      <xdr:colOff>257969</xdr:colOff>
      <xdr:row>50</xdr:row>
      <xdr:rowOff>138906</xdr:rowOff>
    </xdr:from>
    <xdr:to>
      <xdr:col>18</xdr:col>
      <xdr:colOff>1031875</xdr:colOff>
      <xdr:row>55</xdr:row>
      <xdr:rowOff>9922</xdr:rowOff>
    </xdr:to>
    <xdr:sp macro="" textlink="">
      <xdr:nvSpPr>
        <xdr:cNvPr id="15" name="TextBox 14">
          <a:extLst>
            <a:ext uri="{FF2B5EF4-FFF2-40B4-BE49-F238E27FC236}">
              <a16:creationId xmlns:a16="http://schemas.microsoft.com/office/drawing/2014/main" id="{05B19BF7-6F5C-7BDB-628F-3743912B0EED}"/>
            </a:ext>
          </a:extLst>
        </xdr:cNvPr>
        <xdr:cNvSpPr txBox="1"/>
      </xdr:nvSpPr>
      <xdr:spPr>
        <a:xfrm>
          <a:off x="17631172" y="9862344"/>
          <a:ext cx="4504531" cy="86320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Formula</a:t>
          </a:r>
          <a:r>
            <a:rPr lang="en-US" sz="1600" b="1" baseline="0"/>
            <a:t> Used</a:t>
          </a:r>
        </a:p>
        <a:p>
          <a:pPr algn="ctr"/>
          <a:r>
            <a:rPr lang="en-US" sz="1200" b="1"/>
            <a:t>Interactions per Dollar = Total Interactions (Likes + Shares + Comments) / Total Ad Spend</a:t>
          </a:r>
        </a:p>
      </xdr:txBody>
    </xdr:sp>
    <xdr:clientData/>
  </xdr:twoCellAnchor>
  <xdr:twoCellAnchor>
    <xdr:from>
      <xdr:col>10</xdr:col>
      <xdr:colOff>75127</xdr:colOff>
      <xdr:row>29</xdr:row>
      <xdr:rowOff>180126</xdr:rowOff>
    </xdr:from>
    <xdr:to>
      <xdr:col>13</xdr:col>
      <xdr:colOff>595648</xdr:colOff>
      <xdr:row>43</xdr:row>
      <xdr:rowOff>168678</xdr:rowOff>
    </xdr:to>
    <xdr:graphicFrame macro="">
      <xdr:nvGraphicFramePr>
        <xdr:cNvPr id="10" name="Chart 9">
          <a:extLst>
            <a:ext uri="{FF2B5EF4-FFF2-40B4-BE49-F238E27FC236}">
              <a16:creationId xmlns:a16="http://schemas.microsoft.com/office/drawing/2014/main" id="{57E51CA3-648A-0B02-5A52-6A4A54DC7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226017</xdr:colOff>
      <xdr:row>44</xdr:row>
      <xdr:rowOff>182967</xdr:rowOff>
    </xdr:from>
    <xdr:to>
      <xdr:col>13</xdr:col>
      <xdr:colOff>484322</xdr:colOff>
      <xdr:row>47</xdr:row>
      <xdr:rowOff>150679</xdr:rowOff>
    </xdr:to>
    <xdr:sp macro="" textlink="">
      <xdr:nvSpPr>
        <xdr:cNvPr id="16" name="TextBox 15">
          <a:extLst>
            <a:ext uri="{FF2B5EF4-FFF2-40B4-BE49-F238E27FC236}">
              <a16:creationId xmlns:a16="http://schemas.microsoft.com/office/drawing/2014/main" id="{CE45E28E-A065-D5C8-133F-B734936485EE}"/>
            </a:ext>
          </a:extLst>
        </xdr:cNvPr>
        <xdr:cNvSpPr txBox="1"/>
      </xdr:nvSpPr>
      <xdr:spPr>
        <a:xfrm>
          <a:off x="10332203" y="8491781"/>
          <a:ext cx="4305085" cy="54889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The chart shows that engagement does not always increase with higher ad spend, so spending more money alone is not enough.</a:t>
          </a:r>
          <a:endParaRPr lang="en-US" sz="1100" b="1"/>
        </a:p>
      </xdr:txBody>
    </xdr:sp>
    <xdr:clientData/>
  </xdr:twoCellAnchor>
  <xdr:twoCellAnchor>
    <xdr:from>
      <xdr:col>15</xdr:col>
      <xdr:colOff>279830</xdr:colOff>
      <xdr:row>15</xdr:row>
      <xdr:rowOff>118389</xdr:rowOff>
    </xdr:from>
    <xdr:to>
      <xdr:col>19</xdr:col>
      <xdr:colOff>1743559</xdr:colOff>
      <xdr:row>18</xdr:row>
      <xdr:rowOff>120953</xdr:rowOff>
    </xdr:to>
    <xdr:sp macro="" textlink="">
      <xdr:nvSpPr>
        <xdr:cNvPr id="17" name="TextBox 16">
          <a:extLst>
            <a:ext uri="{FF2B5EF4-FFF2-40B4-BE49-F238E27FC236}">
              <a16:creationId xmlns:a16="http://schemas.microsoft.com/office/drawing/2014/main" id="{048BAF94-5ABE-FE28-C274-83C1AD579820}"/>
            </a:ext>
          </a:extLst>
        </xdr:cNvPr>
        <xdr:cNvSpPr txBox="1"/>
      </xdr:nvSpPr>
      <xdr:spPr>
        <a:xfrm>
          <a:off x="16517687" y="2839818"/>
          <a:ext cx="5989364" cy="54684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Twitter performs best in engagement, Instagram is close behind, and YouTube has the lowest engagement rate</a:t>
          </a:r>
        </a:p>
      </xdr:txBody>
    </xdr:sp>
    <xdr:clientData/>
  </xdr:twoCellAnchor>
  <xdr:twoCellAnchor>
    <xdr:from>
      <xdr:col>10</xdr:col>
      <xdr:colOff>1007936</xdr:colOff>
      <xdr:row>17</xdr:row>
      <xdr:rowOff>10080</xdr:rowOff>
    </xdr:from>
    <xdr:to>
      <xdr:col>13</xdr:col>
      <xdr:colOff>473730</xdr:colOff>
      <xdr:row>20</xdr:row>
      <xdr:rowOff>171351</xdr:rowOff>
    </xdr:to>
    <xdr:sp macro="" textlink="">
      <xdr:nvSpPr>
        <xdr:cNvPr id="18" name="TextBox 17">
          <a:extLst>
            <a:ext uri="{FF2B5EF4-FFF2-40B4-BE49-F238E27FC236}">
              <a16:creationId xmlns:a16="http://schemas.microsoft.com/office/drawing/2014/main" id="{802C206E-CAFA-09C3-E1E1-D9FC954BADD8}"/>
            </a:ext>
          </a:extLst>
        </xdr:cNvPr>
        <xdr:cNvSpPr txBox="1"/>
      </xdr:nvSpPr>
      <xdr:spPr>
        <a:xfrm>
          <a:off x="11127619" y="3094366"/>
          <a:ext cx="3497540" cy="70555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Twitter shows the highest weekly follower growth, Instagram is close behind, and YouTube grows the slowest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25400</xdr:colOff>
      <xdr:row>2</xdr:row>
      <xdr:rowOff>82550</xdr:rowOff>
    </xdr:from>
    <xdr:to>
      <xdr:col>3</xdr:col>
      <xdr:colOff>1365250</xdr:colOff>
      <xdr:row>4</xdr:row>
      <xdr:rowOff>114300</xdr:rowOff>
    </xdr:to>
    <xdr:sp macro="" textlink="">
      <xdr:nvSpPr>
        <xdr:cNvPr id="2" name="TextBox 1">
          <a:extLst>
            <a:ext uri="{FF2B5EF4-FFF2-40B4-BE49-F238E27FC236}">
              <a16:creationId xmlns:a16="http://schemas.microsoft.com/office/drawing/2014/main" id="{7AA6D7FD-27E6-42A5-B68C-C3F05E37DEE1}"/>
            </a:ext>
          </a:extLst>
        </xdr:cNvPr>
        <xdr:cNvSpPr txBox="1"/>
      </xdr:nvSpPr>
      <xdr:spPr>
        <a:xfrm>
          <a:off x="889000" y="450850"/>
          <a:ext cx="4152900" cy="4000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Compare content types (Text, Story,Reel) performance across platforms </a:t>
          </a:r>
          <a:endParaRPr lang="en-US" sz="1200" b="1"/>
        </a:p>
      </xdr:txBody>
    </xdr:sp>
    <xdr:clientData/>
  </xdr:twoCellAnchor>
  <xdr:twoCellAnchor>
    <xdr:from>
      <xdr:col>2</xdr:col>
      <xdr:colOff>25400</xdr:colOff>
      <xdr:row>0</xdr:row>
      <xdr:rowOff>139700</xdr:rowOff>
    </xdr:from>
    <xdr:to>
      <xdr:col>2</xdr:col>
      <xdr:colOff>920750</xdr:colOff>
      <xdr:row>2</xdr:row>
      <xdr:rowOff>25400</xdr:rowOff>
    </xdr:to>
    <xdr:sp macro="" textlink="">
      <xdr:nvSpPr>
        <xdr:cNvPr id="3" name="TextBox 2">
          <a:extLst>
            <a:ext uri="{FF2B5EF4-FFF2-40B4-BE49-F238E27FC236}">
              <a16:creationId xmlns:a16="http://schemas.microsoft.com/office/drawing/2014/main" id="{0C75E262-6707-440E-A254-922C2E295A09}"/>
            </a:ext>
          </a:extLst>
        </xdr:cNvPr>
        <xdr:cNvSpPr txBox="1"/>
      </xdr:nvSpPr>
      <xdr:spPr>
        <a:xfrm>
          <a:off x="2679700" y="139700"/>
          <a:ext cx="895350" cy="2540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Task-4.2</a:t>
          </a:r>
          <a:endParaRPr lang="en-US" sz="1200" b="1"/>
        </a:p>
      </xdr:txBody>
    </xdr:sp>
    <xdr:clientData/>
  </xdr:twoCellAnchor>
  <xdr:twoCellAnchor>
    <xdr:from>
      <xdr:col>0</xdr:col>
      <xdr:colOff>95250</xdr:colOff>
      <xdr:row>17</xdr:row>
      <xdr:rowOff>38100</xdr:rowOff>
    </xdr:from>
    <xdr:to>
      <xdr:col>3</xdr:col>
      <xdr:colOff>1088572</xdr:colOff>
      <xdr:row>21</xdr:row>
      <xdr:rowOff>11339</xdr:rowOff>
    </xdr:to>
    <xdr:sp macro="" textlink="">
      <xdr:nvSpPr>
        <xdr:cNvPr id="4" name="TextBox 3">
          <a:extLst>
            <a:ext uri="{FF2B5EF4-FFF2-40B4-BE49-F238E27FC236}">
              <a16:creationId xmlns:a16="http://schemas.microsoft.com/office/drawing/2014/main" id="{78D70286-B5E2-00EE-A899-54793EE0AE94}"/>
            </a:ext>
          </a:extLst>
        </xdr:cNvPr>
        <xdr:cNvSpPr txBox="1"/>
      </xdr:nvSpPr>
      <xdr:spPr>
        <a:xfrm>
          <a:off x="95250" y="3122386"/>
          <a:ext cx="5211536" cy="69895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u="sng"/>
            <a:t>Recommendations based on Data-:</a:t>
          </a:r>
        </a:p>
        <a:p>
          <a:r>
            <a:rPr lang="en-US" b="1"/>
            <a:t>Post more Stories on Instagram and Twitter</a:t>
          </a:r>
          <a:r>
            <a:rPr lang="en-US"/>
            <a:t> because they get the most engagement.</a:t>
          </a:r>
        </a:p>
        <a:p>
          <a:r>
            <a:rPr lang="en-US" b="1"/>
            <a:t>Use YouTube Reels instead of text posts</a:t>
          </a:r>
          <a:r>
            <a:rPr lang="en-US"/>
            <a:t> since they grab attention better</a:t>
          </a:r>
        </a:p>
        <a:p>
          <a:endParaRPr lang="en-US" sz="1100" b="1"/>
        </a:p>
      </xdr:txBody>
    </xdr:sp>
    <xdr:clientData/>
  </xdr:twoCellAnchor>
  <xdr:twoCellAnchor>
    <xdr:from>
      <xdr:col>7</xdr:col>
      <xdr:colOff>226788</xdr:colOff>
      <xdr:row>11</xdr:row>
      <xdr:rowOff>90716</xdr:rowOff>
    </xdr:from>
    <xdr:to>
      <xdr:col>11</xdr:col>
      <xdr:colOff>598715</xdr:colOff>
      <xdr:row>17</xdr:row>
      <xdr:rowOff>54430</xdr:rowOff>
    </xdr:to>
    <xdr:sp macro="" textlink="">
      <xdr:nvSpPr>
        <xdr:cNvPr id="5" name="TextBox 4">
          <a:extLst>
            <a:ext uri="{FF2B5EF4-FFF2-40B4-BE49-F238E27FC236}">
              <a16:creationId xmlns:a16="http://schemas.microsoft.com/office/drawing/2014/main" id="{C4C38C7C-AB28-259C-7D12-87AFEB1DA05A}"/>
            </a:ext>
          </a:extLst>
        </xdr:cNvPr>
        <xdr:cNvSpPr txBox="1"/>
      </xdr:nvSpPr>
      <xdr:spPr>
        <a:xfrm>
          <a:off x="8853717" y="2086430"/>
          <a:ext cx="4299855" cy="105228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dk1"/>
              </a:solidFill>
              <a:effectLst/>
              <a:latin typeface="+mn-lt"/>
              <a:ea typeface="+mn-ea"/>
              <a:cs typeface="+mn-cs"/>
            </a:rPr>
            <a:t>After calculating Engagement Score (Likes + Shares + Comments), Text content obtained highest score 5,59,356 followed by Story 3,92,503 and Reel 1,05,783.</a:t>
          </a:r>
          <a:endParaRPr lang="en-US" sz="1200" b="1">
            <a:effectLst/>
          </a:endParaRPr>
        </a:p>
        <a:p>
          <a:pPr algn="ctr"/>
          <a:r>
            <a:rPr lang="en-US" sz="1200" b="1">
              <a:solidFill>
                <a:schemeClr val="dk1"/>
              </a:solidFill>
              <a:effectLst/>
              <a:latin typeface="+mn-lt"/>
              <a:ea typeface="+mn-ea"/>
              <a:cs typeface="+mn-cs"/>
            </a:rPr>
            <a:t>Therefore Text is optimal content type across Instagram, Twitter and YouTube.</a:t>
          </a:r>
          <a:endParaRPr lang="en-US" sz="1200" b="1">
            <a:effectLst/>
          </a:endParaRPr>
        </a:p>
        <a:p>
          <a:pPr algn="ctr"/>
          <a:endParaRPr lang="en-US" sz="1200" b="1"/>
        </a:p>
      </xdr:txBody>
    </xdr:sp>
    <xdr:clientData/>
  </xdr:twoCellAnchor>
  <xdr:twoCellAnchor>
    <xdr:from>
      <xdr:col>6</xdr:col>
      <xdr:colOff>562413</xdr:colOff>
      <xdr:row>1</xdr:row>
      <xdr:rowOff>19842</xdr:rowOff>
    </xdr:from>
    <xdr:to>
      <xdr:col>7</xdr:col>
      <xdr:colOff>575468</xdr:colOff>
      <xdr:row>2</xdr:row>
      <xdr:rowOff>67128</xdr:rowOff>
    </xdr:to>
    <xdr:sp macro="" textlink="">
      <xdr:nvSpPr>
        <xdr:cNvPr id="6" name="TextBox 5">
          <a:extLst>
            <a:ext uri="{FF2B5EF4-FFF2-40B4-BE49-F238E27FC236}">
              <a16:creationId xmlns:a16="http://schemas.microsoft.com/office/drawing/2014/main" id="{6879268E-C2EC-4488-BB30-1F731354D32D}"/>
            </a:ext>
          </a:extLst>
        </xdr:cNvPr>
        <xdr:cNvSpPr txBox="1"/>
      </xdr:nvSpPr>
      <xdr:spPr>
        <a:xfrm>
          <a:off x="8112960" y="208358"/>
          <a:ext cx="796883" cy="23580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Task-4.3</a:t>
          </a:r>
        </a:p>
      </xdr:txBody>
    </xdr:sp>
    <xdr:clientData/>
  </xdr:twoCellAnchor>
  <xdr:twoCellAnchor>
    <xdr:from>
      <xdr:col>4</xdr:col>
      <xdr:colOff>562437</xdr:colOff>
      <xdr:row>2</xdr:row>
      <xdr:rowOff>108863</xdr:rowOff>
    </xdr:from>
    <xdr:to>
      <xdr:col>9</xdr:col>
      <xdr:colOff>60787</xdr:colOff>
      <xdr:row>4</xdr:row>
      <xdr:rowOff>81643</xdr:rowOff>
    </xdr:to>
    <xdr:sp macro="" textlink="">
      <xdr:nvSpPr>
        <xdr:cNvPr id="7" name="TextBox 6">
          <a:extLst>
            <a:ext uri="{FF2B5EF4-FFF2-40B4-BE49-F238E27FC236}">
              <a16:creationId xmlns:a16="http://schemas.microsoft.com/office/drawing/2014/main" id="{300E31F7-B52D-4E21-850F-1234791734FC}"/>
            </a:ext>
          </a:extLst>
        </xdr:cNvPr>
        <xdr:cNvSpPr txBox="1"/>
      </xdr:nvSpPr>
      <xdr:spPr>
        <a:xfrm>
          <a:off x="6549580" y="471720"/>
          <a:ext cx="4151993" cy="33563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Recommend optimal content type-platform combinations</a:t>
          </a:r>
        </a:p>
      </xdr:txBody>
    </xdr:sp>
    <xdr:clientData/>
  </xdr:twoCellAnchor>
  <xdr:twoCellAnchor>
    <xdr:from>
      <xdr:col>11</xdr:col>
      <xdr:colOff>693964</xdr:colOff>
      <xdr:row>4</xdr:row>
      <xdr:rowOff>163286</xdr:rowOff>
    </xdr:from>
    <xdr:to>
      <xdr:col>16</xdr:col>
      <xdr:colOff>181429</xdr:colOff>
      <xdr:row>17</xdr:row>
      <xdr:rowOff>174171</xdr:rowOff>
    </xdr:to>
    <xdr:graphicFrame macro="">
      <xdr:nvGraphicFramePr>
        <xdr:cNvPr id="9" name="Chart 8">
          <a:extLst>
            <a:ext uri="{FF2B5EF4-FFF2-40B4-BE49-F238E27FC236}">
              <a16:creationId xmlns:a16="http://schemas.microsoft.com/office/drawing/2014/main" id="{59AFD7AB-FC3A-11D3-37B6-6180F8A679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1180284</xdr:colOff>
      <xdr:row>31</xdr:row>
      <xdr:rowOff>81640</xdr:rowOff>
    </xdr:from>
    <xdr:to>
      <xdr:col>2</xdr:col>
      <xdr:colOff>965896</xdr:colOff>
      <xdr:row>32</xdr:row>
      <xdr:rowOff>148769</xdr:rowOff>
    </xdr:to>
    <xdr:sp macro="" textlink="">
      <xdr:nvSpPr>
        <xdr:cNvPr id="8" name="TextBox 7">
          <a:extLst>
            <a:ext uri="{FF2B5EF4-FFF2-40B4-BE49-F238E27FC236}">
              <a16:creationId xmlns:a16="http://schemas.microsoft.com/office/drawing/2014/main" id="{A5F4FC0E-F4DF-4608-979F-C4865EFA74F8}"/>
            </a:ext>
          </a:extLst>
        </xdr:cNvPr>
        <xdr:cNvSpPr txBox="1"/>
      </xdr:nvSpPr>
      <xdr:spPr>
        <a:xfrm>
          <a:off x="2097506" y="5768418"/>
          <a:ext cx="1577723" cy="25057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Task-4.1</a:t>
          </a:r>
          <a:endParaRPr lang="en-US" sz="1200" b="1"/>
        </a:p>
      </xdr:txBody>
    </xdr:sp>
    <xdr:clientData/>
  </xdr:twoCellAnchor>
  <xdr:twoCellAnchor>
    <xdr:from>
      <xdr:col>0</xdr:col>
      <xdr:colOff>505975</xdr:colOff>
      <xdr:row>33</xdr:row>
      <xdr:rowOff>63496</xdr:rowOff>
    </xdr:from>
    <xdr:to>
      <xdr:col>3</xdr:col>
      <xdr:colOff>928603</xdr:colOff>
      <xdr:row>35</xdr:row>
      <xdr:rowOff>95246</xdr:rowOff>
    </xdr:to>
    <xdr:sp macro="" textlink="">
      <xdr:nvSpPr>
        <xdr:cNvPr id="10" name="TextBox 9">
          <a:extLst>
            <a:ext uri="{FF2B5EF4-FFF2-40B4-BE49-F238E27FC236}">
              <a16:creationId xmlns:a16="http://schemas.microsoft.com/office/drawing/2014/main" id="{C8C1142D-A6F2-4F39-84D6-26C76EDB91E2}"/>
            </a:ext>
          </a:extLst>
        </xdr:cNvPr>
        <xdr:cNvSpPr txBox="1"/>
      </xdr:nvSpPr>
      <xdr:spPr>
        <a:xfrm>
          <a:off x="505975" y="6117163"/>
          <a:ext cx="4839406" cy="39863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Most frequent hashtags and average engagement for each </a:t>
          </a:r>
          <a:endParaRPr lang="en-US" sz="1200" b="1"/>
        </a:p>
      </xdr:txBody>
    </xdr:sp>
    <xdr:clientData/>
  </xdr:twoCellAnchor>
  <xdr:twoCellAnchor>
    <xdr:from>
      <xdr:col>0</xdr:col>
      <xdr:colOff>458611</xdr:colOff>
      <xdr:row>43</xdr:row>
      <xdr:rowOff>105834</xdr:rowOff>
    </xdr:from>
    <xdr:to>
      <xdr:col>3</xdr:col>
      <xdr:colOff>317500</xdr:colOff>
      <xdr:row>46</xdr:row>
      <xdr:rowOff>70557</xdr:rowOff>
    </xdr:to>
    <xdr:sp macro="" textlink="">
      <xdr:nvSpPr>
        <xdr:cNvPr id="11" name="TextBox 10">
          <a:extLst>
            <a:ext uri="{FF2B5EF4-FFF2-40B4-BE49-F238E27FC236}">
              <a16:creationId xmlns:a16="http://schemas.microsoft.com/office/drawing/2014/main" id="{FBD15E83-E25B-C648-C55D-9D6ACAEE6242}"/>
            </a:ext>
          </a:extLst>
        </xdr:cNvPr>
        <xdr:cNvSpPr txBox="1"/>
      </xdr:nvSpPr>
      <xdr:spPr>
        <a:xfrm>
          <a:off x="458611" y="7993945"/>
          <a:ext cx="4275667" cy="51505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#DiscoverWeekly is the most used hashtag, showing it plays a major role in Spotify’s social media strategy.</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63500</xdr:colOff>
      <xdr:row>3</xdr:row>
      <xdr:rowOff>69850</xdr:rowOff>
    </xdr:from>
    <xdr:to>
      <xdr:col>15</xdr:col>
      <xdr:colOff>557893</xdr:colOff>
      <xdr:row>5</xdr:row>
      <xdr:rowOff>96157</xdr:rowOff>
    </xdr:to>
    <xdr:sp macro="" textlink="">
      <xdr:nvSpPr>
        <xdr:cNvPr id="2" name="TextBox 1">
          <a:extLst>
            <a:ext uri="{FF2B5EF4-FFF2-40B4-BE49-F238E27FC236}">
              <a16:creationId xmlns:a16="http://schemas.microsoft.com/office/drawing/2014/main" id="{E174B51E-8CA8-4E23-888E-5F113E7CCFD4}"/>
            </a:ext>
          </a:extLst>
        </xdr:cNvPr>
        <xdr:cNvSpPr txBox="1"/>
      </xdr:nvSpPr>
      <xdr:spPr>
        <a:xfrm>
          <a:off x="7651750" y="622300"/>
          <a:ext cx="4151993" cy="39460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Engagement uplift during vs. before campaign</a:t>
          </a:r>
          <a:endParaRPr lang="en-US" sz="1200" b="1"/>
        </a:p>
      </xdr:txBody>
    </xdr:sp>
    <xdr:clientData/>
  </xdr:twoCellAnchor>
  <xdr:twoCellAnchor>
    <xdr:from>
      <xdr:col>2</xdr:col>
      <xdr:colOff>82550</xdr:colOff>
      <xdr:row>3</xdr:row>
      <xdr:rowOff>76200</xdr:rowOff>
    </xdr:from>
    <xdr:to>
      <xdr:col>6</xdr:col>
      <xdr:colOff>132443</xdr:colOff>
      <xdr:row>5</xdr:row>
      <xdr:rowOff>102507</xdr:rowOff>
    </xdr:to>
    <xdr:sp macro="" textlink="">
      <xdr:nvSpPr>
        <xdr:cNvPr id="3" name="TextBox 2">
          <a:extLst>
            <a:ext uri="{FF2B5EF4-FFF2-40B4-BE49-F238E27FC236}">
              <a16:creationId xmlns:a16="http://schemas.microsoft.com/office/drawing/2014/main" id="{DCEFF9DA-04B2-4174-8CD1-BAAA6B773F80}"/>
            </a:ext>
          </a:extLst>
        </xdr:cNvPr>
        <xdr:cNvSpPr txBox="1"/>
      </xdr:nvSpPr>
      <xdr:spPr>
        <a:xfrm>
          <a:off x="1574800" y="628650"/>
          <a:ext cx="4151993" cy="39460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t>Total &amp; average impressions, likes, clicks per campaign </a:t>
          </a:r>
          <a:endParaRPr lang="en-US" sz="1200" b="1"/>
        </a:p>
      </xdr:txBody>
    </xdr:sp>
    <xdr:clientData/>
  </xdr:twoCellAnchor>
  <xdr:twoCellAnchor>
    <xdr:from>
      <xdr:col>3</xdr:col>
      <xdr:colOff>412750</xdr:colOff>
      <xdr:row>1</xdr:row>
      <xdr:rowOff>127000</xdr:rowOff>
    </xdr:from>
    <xdr:to>
      <xdr:col>4</xdr:col>
      <xdr:colOff>463550</xdr:colOff>
      <xdr:row>3</xdr:row>
      <xdr:rowOff>7257</xdr:rowOff>
    </xdr:to>
    <xdr:sp macro="" textlink="">
      <xdr:nvSpPr>
        <xdr:cNvPr id="4" name="TextBox 3">
          <a:extLst>
            <a:ext uri="{FF2B5EF4-FFF2-40B4-BE49-F238E27FC236}">
              <a16:creationId xmlns:a16="http://schemas.microsoft.com/office/drawing/2014/main" id="{23BDAC64-A784-4DDA-AD10-BC7D884B23EA}"/>
            </a:ext>
          </a:extLst>
        </xdr:cNvPr>
        <xdr:cNvSpPr txBox="1"/>
      </xdr:nvSpPr>
      <xdr:spPr>
        <a:xfrm>
          <a:off x="3181350" y="311150"/>
          <a:ext cx="895350" cy="24855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Task-5.1</a:t>
          </a:r>
          <a:endParaRPr lang="en-US" sz="1200" b="1"/>
        </a:p>
      </xdr:txBody>
    </xdr:sp>
    <xdr:clientData/>
  </xdr:twoCellAnchor>
  <xdr:twoCellAnchor>
    <xdr:from>
      <xdr:col>11</xdr:col>
      <xdr:colOff>539750</xdr:colOff>
      <xdr:row>1</xdr:row>
      <xdr:rowOff>120650</xdr:rowOff>
    </xdr:from>
    <xdr:to>
      <xdr:col>13</xdr:col>
      <xdr:colOff>215900</xdr:colOff>
      <xdr:row>3</xdr:row>
      <xdr:rowOff>907</xdr:rowOff>
    </xdr:to>
    <xdr:sp macro="" textlink="">
      <xdr:nvSpPr>
        <xdr:cNvPr id="5" name="TextBox 4">
          <a:extLst>
            <a:ext uri="{FF2B5EF4-FFF2-40B4-BE49-F238E27FC236}">
              <a16:creationId xmlns:a16="http://schemas.microsoft.com/office/drawing/2014/main" id="{C51B64BB-B3D0-4BE9-8357-4CF3DB56A817}"/>
            </a:ext>
          </a:extLst>
        </xdr:cNvPr>
        <xdr:cNvSpPr txBox="1"/>
      </xdr:nvSpPr>
      <xdr:spPr>
        <a:xfrm>
          <a:off x="9347200" y="304800"/>
          <a:ext cx="895350" cy="24855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Task-5.2</a:t>
          </a:r>
          <a:endParaRPr lang="en-US" sz="1200" b="1"/>
        </a:p>
      </xdr:txBody>
    </xdr:sp>
    <xdr:clientData/>
  </xdr:twoCellAnchor>
  <xdr:twoCellAnchor>
    <xdr:from>
      <xdr:col>11</xdr:col>
      <xdr:colOff>120650</xdr:colOff>
      <xdr:row>10</xdr:row>
      <xdr:rowOff>107950</xdr:rowOff>
    </xdr:from>
    <xdr:to>
      <xdr:col>15</xdr:col>
      <xdr:colOff>501650</xdr:colOff>
      <xdr:row>23</xdr:row>
      <xdr:rowOff>69850</xdr:rowOff>
    </xdr:to>
    <xdr:graphicFrame macro="">
      <xdr:nvGraphicFramePr>
        <xdr:cNvPr id="6" name="Chart 5">
          <a:extLst>
            <a:ext uri="{FF2B5EF4-FFF2-40B4-BE49-F238E27FC236}">
              <a16:creationId xmlns:a16="http://schemas.microsoft.com/office/drawing/2014/main" id="{A6BC28D8-8822-63F5-4B2D-3F24ABFF1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64276</xdr:colOff>
      <xdr:row>22</xdr:row>
      <xdr:rowOff>147134</xdr:rowOff>
    </xdr:from>
    <xdr:to>
      <xdr:col>7</xdr:col>
      <xdr:colOff>302013</xdr:colOff>
      <xdr:row>35</xdr:row>
      <xdr:rowOff>93855</xdr:rowOff>
    </xdr:to>
    <xdr:graphicFrame macro="">
      <xdr:nvGraphicFramePr>
        <xdr:cNvPr id="7" name="Chart 6">
          <a:extLst>
            <a:ext uri="{FF2B5EF4-FFF2-40B4-BE49-F238E27FC236}">
              <a16:creationId xmlns:a16="http://schemas.microsoft.com/office/drawing/2014/main" id="{EEEB96DA-6253-7437-CD91-8446A9081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394937</xdr:colOff>
      <xdr:row>17</xdr:row>
      <xdr:rowOff>30979</xdr:rowOff>
    </xdr:from>
    <xdr:to>
      <xdr:col>2</xdr:col>
      <xdr:colOff>1289823</xdr:colOff>
      <xdr:row>18</xdr:row>
      <xdr:rowOff>97089</xdr:rowOff>
    </xdr:to>
    <xdr:sp macro="" textlink="">
      <xdr:nvSpPr>
        <xdr:cNvPr id="8" name="TextBox 7">
          <a:extLst>
            <a:ext uri="{FF2B5EF4-FFF2-40B4-BE49-F238E27FC236}">
              <a16:creationId xmlns:a16="http://schemas.microsoft.com/office/drawing/2014/main" id="{9AE6F25E-2BDF-4A3C-B18B-440D4EB81F83}"/>
            </a:ext>
          </a:extLst>
        </xdr:cNvPr>
        <xdr:cNvSpPr txBox="1"/>
      </xdr:nvSpPr>
      <xdr:spPr>
        <a:xfrm>
          <a:off x="1889510" y="3190491"/>
          <a:ext cx="894886" cy="25196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Task-5.3</a:t>
          </a:r>
          <a:endParaRPr lang="en-US" sz="1200" b="1"/>
        </a:p>
      </xdr:txBody>
    </xdr:sp>
    <xdr:clientData/>
  </xdr:twoCellAnchor>
  <xdr:twoCellAnchor>
    <xdr:from>
      <xdr:col>1</xdr:col>
      <xdr:colOff>0</xdr:colOff>
      <xdr:row>19</xdr:row>
      <xdr:rowOff>0</xdr:rowOff>
    </xdr:from>
    <xdr:to>
      <xdr:col>4</xdr:col>
      <xdr:colOff>480122</xdr:colOff>
      <xdr:row>21</xdr:row>
      <xdr:rowOff>26307</xdr:rowOff>
    </xdr:to>
    <xdr:sp macro="" textlink="">
      <xdr:nvSpPr>
        <xdr:cNvPr id="9" name="TextBox 8">
          <a:extLst>
            <a:ext uri="{FF2B5EF4-FFF2-40B4-BE49-F238E27FC236}">
              <a16:creationId xmlns:a16="http://schemas.microsoft.com/office/drawing/2014/main" id="{7C4D0597-7439-4356-B297-C950BF386D68}"/>
            </a:ext>
          </a:extLst>
        </xdr:cNvPr>
        <xdr:cNvSpPr txBox="1"/>
      </xdr:nvSpPr>
      <xdr:spPr>
        <a:xfrm>
          <a:off x="611768" y="3531220"/>
          <a:ext cx="3779025" cy="39801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Campaign with highest ROI (engagement/ad spend) </a:t>
          </a:r>
        </a:p>
      </xdr:txBody>
    </xdr:sp>
    <xdr:clientData/>
  </xdr:twoCellAnchor>
  <xdr:twoCellAnchor>
    <xdr:from>
      <xdr:col>14</xdr:col>
      <xdr:colOff>284909</xdr:colOff>
      <xdr:row>39</xdr:row>
      <xdr:rowOff>90525</xdr:rowOff>
    </xdr:from>
    <xdr:to>
      <xdr:col>18</xdr:col>
      <xdr:colOff>147769</xdr:colOff>
      <xdr:row>51</xdr:row>
      <xdr:rowOff>65126</xdr:rowOff>
    </xdr:to>
    <xdr:graphicFrame macro="">
      <xdr:nvGraphicFramePr>
        <xdr:cNvPr id="11" name="Chart 10">
          <a:extLst>
            <a:ext uri="{FF2B5EF4-FFF2-40B4-BE49-F238E27FC236}">
              <a16:creationId xmlns:a16="http://schemas.microsoft.com/office/drawing/2014/main" id="{6BAA1655-9F8A-176A-C0B9-65B69D709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432340</xdr:colOff>
      <xdr:row>26</xdr:row>
      <xdr:rowOff>135106</xdr:rowOff>
    </xdr:from>
    <xdr:to>
      <xdr:col>13</xdr:col>
      <xdr:colOff>607984</xdr:colOff>
      <xdr:row>28</xdr:row>
      <xdr:rowOff>69406</xdr:rowOff>
    </xdr:to>
    <xdr:sp macro="" textlink="">
      <xdr:nvSpPr>
        <xdr:cNvPr id="12" name="TextBox 11">
          <a:extLst>
            <a:ext uri="{FF2B5EF4-FFF2-40B4-BE49-F238E27FC236}">
              <a16:creationId xmlns:a16="http://schemas.microsoft.com/office/drawing/2014/main" id="{8C50AB30-111F-4BFD-8FA0-03AA7EC4A88E}"/>
            </a:ext>
          </a:extLst>
        </xdr:cNvPr>
        <xdr:cNvSpPr txBox="1"/>
      </xdr:nvSpPr>
      <xdr:spPr>
        <a:xfrm>
          <a:off x="10713936" y="5052978"/>
          <a:ext cx="1215963" cy="31259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Task-5.4</a:t>
          </a:r>
          <a:endParaRPr lang="en-US" sz="1200" b="1"/>
        </a:p>
      </xdr:txBody>
    </xdr:sp>
    <xdr:clientData/>
  </xdr:twoCellAnchor>
  <xdr:twoCellAnchor>
    <xdr:from>
      <xdr:col>11</xdr:col>
      <xdr:colOff>0</xdr:colOff>
      <xdr:row>28</xdr:row>
      <xdr:rowOff>162129</xdr:rowOff>
    </xdr:from>
    <xdr:to>
      <xdr:col>15</xdr:col>
      <xdr:colOff>378298</xdr:colOff>
      <xdr:row>31</xdr:row>
      <xdr:rowOff>26308</xdr:rowOff>
    </xdr:to>
    <xdr:sp macro="" textlink="">
      <xdr:nvSpPr>
        <xdr:cNvPr id="13" name="TextBox 12">
          <a:extLst>
            <a:ext uri="{FF2B5EF4-FFF2-40B4-BE49-F238E27FC236}">
              <a16:creationId xmlns:a16="http://schemas.microsoft.com/office/drawing/2014/main" id="{2C80E6AF-3D7C-4BB1-9807-9EE3EC1EC2D2}"/>
            </a:ext>
          </a:extLst>
        </xdr:cNvPr>
        <xdr:cNvSpPr txBox="1"/>
      </xdr:nvSpPr>
      <xdr:spPr>
        <a:xfrm>
          <a:off x="9092660" y="5458299"/>
          <a:ext cx="4553085" cy="431626"/>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Campaign with strongest follower or app download growth</a:t>
          </a:r>
        </a:p>
      </xdr:txBody>
    </xdr:sp>
    <xdr:clientData/>
  </xdr:twoCellAnchor>
  <xdr:twoCellAnchor>
    <xdr:from>
      <xdr:col>11</xdr:col>
      <xdr:colOff>0</xdr:colOff>
      <xdr:row>47</xdr:row>
      <xdr:rowOff>0</xdr:rowOff>
    </xdr:from>
    <xdr:to>
      <xdr:col>14</xdr:col>
      <xdr:colOff>179294</xdr:colOff>
      <xdr:row>51</xdr:row>
      <xdr:rowOff>37352</xdr:rowOff>
    </xdr:to>
    <xdr:sp macro="" textlink="">
      <xdr:nvSpPr>
        <xdr:cNvPr id="14" name="TextBox 13">
          <a:extLst>
            <a:ext uri="{FF2B5EF4-FFF2-40B4-BE49-F238E27FC236}">
              <a16:creationId xmlns:a16="http://schemas.microsoft.com/office/drawing/2014/main" id="{1BD19425-B071-4AA2-8BE2-3000307E7C74}"/>
            </a:ext>
          </a:extLst>
        </xdr:cNvPr>
        <xdr:cNvSpPr txBox="1"/>
      </xdr:nvSpPr>
      <xdr:spPr>
        <a:xfrm>
          <a:off x="9092660" y="8890000"/>
          <a:ext cx="3746102" cy="79394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mn-lt"/>
              <a:ea typeface="+mn-ea"/>
              <a:cs typeface="+mn-cs"/>
            </a:rPr>
            <a:t>ChillVibes</a:t>
          </a:r>
          <a:r>
            <a:rPr lang="en-US" sz="1400" b="1">
              <a:effectLst/>
            </a:rPr>
            <a:t> </a:t>
          </a:r>
          <a:r>
            <a:rPr lang="en-US" sz="1400" b="1"/>
            <a:t> campaign shows the strongest follower/app download growth because it has the highest total clicks among all campaigns.</a:t>
          </a:r>
        </a:p>
        <a:p>
          <a:endParaRPr lang="en-US" sz="1400" b="1"/>
        </a:p>
      </xdr:txBody>
    </xdr:sp>
    <xdr:clientData/>
  </xdr:twoCellAnchor>
  <xdr:twoCellAnchor>
    <xdr:from>
      <xdr:col>1</xdr:col>
      <xdr:colOff>93689</xdr:colOff>
      <xdr:row>43</xdr:row>
      <xdr:rowOff>52049</xdr:rowOff>
    </xdr:from>
    <xdr:to>
      <xdr:col>5</xdr:col>
      <xdr:colOff>72869</xdr:colOff>
      <xdr:row>48</xdr:row>
      <xdr:rowOff>62459</xdr:rowOff>
    </xdr:to>
    <xdr:sp macro="" textlink="">
      <xdr:nvSpPr>
        <xdr:cNvPr id="10" name="TextBox 9">
          <a:extLst>
            <a:ext uri="{FF2B5EF4-FFF2-40B4-BE49-F238E27FC236}">
              <a16:creationId xmlns:a16="http://schemas.microsoft.com/office/drawing/2014/main" id="{88BB8E5A-F828-6F91-F2AE-CADD3D930CB9}"/>
            </a:ext>
          </a:extLst>
        </xdr:cNvPr>
        <xdr:cNvSpPr txBox="1"/>
      </xdr:nvSpPr>
      <xdr:spPr>
        <a:xfrm>
          <a:off x="707869" y="8109262"/>
          <a:ext cx="4163934" cy="94729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Spotify should use the same content style and audience targeting from successful campaigns like ChillVibes and IndieWave, and improve or redesign weaker campaigns such as Wrapped2024 and SummerBeats to get better results.</a:t>
          </a:r>
        </a:p>
      </xdr:txBody>
    </xdr:sp>
    <xdr:clientData/>
  </xdr:twoCellAnchor>
  <xdr:twoCellAnchor>
    <xdr:from>
      <xdr:col>1</xdr:col>
      <xdr:colOff>82826</xdr:colOff>
      <xdr:row>12</xdr:row>
      <xdr:rowOff>147246</xdr:rowOff>
    </xdr:from>
    <xdr:to>
      <xdr:col>7</xdr:col>
      <xdr:colOff>220870</xdr:colOff>
      <xdr:row>15</xdr:row>
      <xdr:rowOff>128840</xdr:rowOff>
    </xdr:to>
    <xdr:sp macro="" textlink="">
      <xdr:nvSpPr>
        <xdr:cNvPr id="15" name="TextBox 14">
          <a:extLst>
            <a:ext uri="{FF2B5EF4-FFF2-40B4-BE49-F238E27FC236}">
              <a16:creationId xmlns:a16="http://schemas.microsoft.com/office/drawing/2014/main" id="{33D23EFD-93BB-DC5A-6462-EBDF33B88400}"/>
            </a:ext>
          </a:extLst>
        </xdr:cNvPr>
        <xdr:cNvSpPr txBox="1"/>
      </xdr:nvSpPr>
      <xdr:spPr>
        <a:xfrm>
          <a:off x="690217" y="2355942"/>
          <a:ext cx="6119928" cy="53376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ChillVibes and IndieWave performed best in terms of reach and engagement, while SummerBeats and Wrapped2024 need better strategies to convert impressions into clicks</a:t>
          </a:r>
        </a:p>
      </xdr:txBody>
    </xdr:sp>
    <xdr:clientData/>
  </xdr:twoCellAnchor>
  <xdr:twoCellAnchor>
    <xdr:from>
      <xdr:col>15</xdr:col>
      <xdr:colOff>1074616</xdr:colOff>
      <xdr:row>13</xdr:row>
      <xdr:rowOff>134326</xdr:rowOff>
    </xdr:from>
    <xdr:to>
      <xdr:col>19</xdr:col>
      <xdr:colOff>598365</xdr:colOff>
      <xdr:row>18</xdr:row>
      <xdr:rowOff>146538</xdr:rowOff>
    </xdr:to>
    <xdr:sp macro="" textlink="">
      <xdr:nvSpPr>
        <xdr:cNvPr id="16" name="TextBox 15">
          <a:extLst>
            <a:ext uri="{FF2B5EF4-FFF2-40B4-BE49-F238E27FC236}">
              <a16:creationId xmlns:a16="http://schemas.microsoft.com/office/drawing/2014/main" id="{04F19CF1-9225-F103-246D-736B28947FCF}"/>
            </a:ext>
          </a:extLst>
        </xdr:cNvPr>
        <xdr:cNvSpPr txBox="1"/>
      </xdr:nvSpPr>
      <xdr:spPr>
        <a:xfrm>
          <a:off x="13689135" y="2515576"/>
          <a:ext cx="2784230" cy="92807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The campaign increased average engagement from 9.10% to 9.66%, showing a clear positive impact on user interaction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1226462</xdr:colOff>
      <xdr:row>2</xdr:row>
      <xdr:rowOff>2266</xdr:rowOff>
    </xdr:from>
    <xdr:to>
      <xdr:col>1</xdr:col>
      <xdr:colOff>334211</xdr:colOff>
      <xdr:row>3</xdr:row>
      <xdr:rowOff>150394</xdr:rowOff>
    </xdr:to>
    <xdr:sp macro="" textlink="">
      <xdr:nvSpPr>
        <xdr:cNvPr id="3" name="TextBox 2">
          <a:extLst>
            <a:ext uri="{FF2B5EF4-FFF2-40B4-BE49-F238E27FC236}">
              <a16:creationId xmlns:a16="http://schemas.microsoft.com/office/drawing/2014/main" id="{3D99CECC-9722-4287-9DF4-A14844F4F657}"/>
            </a:ext>
          </a:extLst>
        </xdr:cNvPr>
        <xdr:cNvSpPr txBox="1"/>
      </xdr:nvSpPr>
      <xdr:spPr>
        <a:xfrm>
          <a:off x="1226462" y="369898"/>
          <a:ext cx="795512" cy="33194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Task-6.1</a:t>
          </a:r>
          <a:endParaRPr lang="en-US" sz="1200" b="1"/>
        </a:p>
      </xdr:txBody>
    </xdr:sp>
    <xdr:clientData/>
  </xdr:twoCellAnchor>
  <xdr:twoCellAnchor>
    <xdr:from>
      <xdr:col>0</xdr:col>
      <xdr:colOff>78012</xdr:colOff>
      <xdr:row>4</xdr:row>
      <xdr:rowOff>29936</xdr:rowOff>
    </xdr:from>
    <xdr:to>
      <xdr:col>2</xdr:col>
      <xdr:colOff>164629</xdr:colOff>
      <xdr:row>6</xdr:row>
      <xdr:rowOff>141111</xdr:rowOff>
    </xdr:to>
    <xdr:sp macro="" textlink="">
      <xdr:nvSpPr>
        <xdr:cNvPr id="4" name="TextBox 3">
          <a:extLst>
            <a:ext uri="{FF2B5EF4-FFF2-40B4-BE49-F238E27FC236}">
              <a16:creationId xmlns:a16="http://schemas.microsoft.com/office/drawing/2014/main" id="{E25DA341-307D-4120-A3BD-3C3CBC530F51}"/>
            </a:ext>
          </a:extLst>
        </xdr:cNvPr>
        <xdr:cNvSpPr txBox="1"/>
      </xdr:nvSpPr>
      <xdr:spPr>
        <a:xfrm>
          <a:off x="78012" y="751171"/>
          <a:ext cx="2501185" cy="47179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Identify week with highest net follower gain </a:t>
          </a:r>
        </a:p>
      </xdr:txBody>
    </xdr:sp>
    <xdr:clientData/>
  </xdr:twoCellAnchor>
  <xdr:twoCellAnchor>
    <xdr:from>
      <xdr:col>3</xdr:col>
      <xdr:colOff>256739</xdr:colOff>
      <xdr:row>6</xdr:row>
      <xdr:rowOff>169865</xdr:rowOff>
    </xdr:from>
    <xdr:to>
      <xdr:col>9</xdr:col>
      <xdr:colOff>170534</xdr:colOff>
      <xdr:row>21</xdr:row>
      <xdr:rowOff>150815</xdr:rowOff>
    </xdr:to>
    <xdr:graphicFrame macro="">
      <xdr:nvGraphicFramePr>
        <xdr:cNvPr id="5" name="Chart 4">
          <a:extLst>
            <a:ext uri="{FF2B5EF4-FFF2-40B4-BE49-F238E27FC236}">
              <a16:creationId xmlns:a16="http://schemas.microsoft.com/office/drawing/2014/main" id="{B04F3A30-C679-70F8-1060-796081419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272558</xdr:colOff>
      <xdr:row>22</xdr:row>
      <xdr:rowOff>126535</xdr:rowOff>
    </xdr:from>
    <xdr:to>
      <xdr:col>9</xdr:col>
      <xdr:colOff>186569</xdr:colOff>
      <xdr:row>28</xdr:row>
      <xdr:rowOff>64394</xdr:rowOff>
    </xdr:to>
    <xdr:sp macro="" textlink="">
      <xdr:nvSpPr>
        <xdr:cNvPr id="6" name="TextBox 5">
          <a:extLst>
            <a:ext uri="{FF2B5EF4-FFF2-40B4-BE49-F238E27FC236}">
              <a16:creationId xmlns:a16="http://schemas.microsoft.com/office/drawing/2014/main" id="{9F4C255B-6ACD-AE68-8B28-1B1E9BC8100A}"/>
            </a:ext>
          </a:extLst>
        </xdr:cNvPr>
        <xdr:cNvSpPr txBox="1"/>
      </xdr:nvSpPr>
      <xdr:spPr>
        <a:xfrm>
          <a:off x="4350868" y="4258507"/>
          <a:ext cx="4600490" cy="106476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 moving average chart was used to analyze follower trends by smoothing weekly click data. The moving average helps identify the overall growth pattern by reducing short-term fluctuations.</a:t>
          </a:r>
        </a:p>
      </xdr:txBody>
    </xdr:sp>
    <xdr:clientData/>
  </xdr:twoCellAnchor>
  <xdr:twoCellAnchor>
    <xdr:from>
      <xdr:col>3</xdr:col>
      <xdr:colOff>983801</xdr:colOff>
      <xdr:row>4</xdr:row>
      <xdr:rowOff>35771</xdr:rowOff>
    </xdr:from>
    <xdr:to>
      <xdr:col>8</xdr:col>
      <xdr:colOff>232137</xdr:colOff>
      <xdr:row>5</xdr:row>
      <xdr:rowOff>164585</xdr:rowOff>
    </xdr:to>
    <xdr:sp macro="" textlink="">
      <xdr:nvSpPr>
        <xdr:cNvPr id="7" name="TextBox 6">
          <a:extLst>
            <a:ext uri="{FF2B5EF4-FFF2-40B4-BE49-F238E27FC236}">
              <a16:creationId xmlns:a16="http://schemas.microsoft.com/office/drawing/2014/main" id="{67C5799B-0D8B-440D-8840-D26218E3F802}"/>
            </a:ext>
          </a:extLst>
        </xdr:cNvPr>
        <xdr:cNvSpPr txBox="1"/>
      </xdr:nvSpPr>
      <xdr:spPr>
        <a:xfrm>
          <a:off x="5062111" y="787039"/>
          <a:ext cx="3326646" cy="31663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Moving average chart to analyze follower trends</a:t>
          </a:r>
        </a:p>
      </xdr:txBody>
    </xdr:sp>
    <xdr:clientData/>
  </xdr:twoCellAnchor>
  <xdr:twoCellAnchor>
    <xdr:from>
      <xdr:col>4</xdr:col>
      <xdr:colOff>564649</xdr:colOff>
      <xdr:row>2</xdr:row>
      <xdr:rowOff>25266</xdr:rowOff>
    </xdr:from>
    <xdr:to>
      <xdr:col>6</xdr:col>
      <xdr:colOff>234271</xdr:colOff>
      <xdr:row>3</xdr:row>
      <xdr:rowOff>135551</xdr:rowOff>
    </xdr:to>
    <xdr:sp macro="" textlink="">
      <xdr:nvSpPr>
        <xdr:cNvPr id="8" name="TextBox 7">
          <a:extLst>
            <a:ext uri="{FF2B5EF4-FFF2-40B4-BE49-F238E27FC236}">
              <a16:creationId xmlns:a16="http://schemas.microsoft.com/office/drawing/2014/main" id="{53501BAD-CE28-4809-BC77-89448A06CD0D}"/>
            </a:ext>
          </a:extLst>
        </xdr:cNvPr>
        <xdr:cNvSpPr txBox="1"/>
      </xdr:nvSpPr>
      <xdr:spPr>
        <a:xfrm>
          <a:off x="6181269" y="400900"/>
          <a:ext cx="993284" cy="29810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Task-6.2</a:t>
          </a:r>
          <a:endParaRPr lang="en-US" sz="1200" b="1"/>
        </a:p>
      </xdr:txBody>
    </xdr:sp>
    <xdr:clientData/>
  </xdr:twoCellAnchor>
  <xdr:twoCellAnchor>
    <xdr:from>
      <xdr:col>13</xdr:col>
      <xdr:colOff>194291</xdr:colOff>
      <xdr:row>12</xdr:row>
      <xdr:rowOff>23693</xdr:rowOff>
    </xdr:from>
    <xdr:to>
      <xdr:col>16</xdr:col>
      <xdr:colOff>431232</xdr:colOff>
      <xdr:row>17</xdr:row>
      <xdr:rowOff>104253</xdr:rowOff>
    </xdr:to>
    <xdr:sp macro="" textlink="">
      <xdr:nvSpPr>
        <xdr:cNvPr id="2" name="TextBox 1">
          <a:extLst>
            <a:ext uri="{FF2B5EF4-FFF2-40B4-BE49-F238E27FC236}">
              <a16:creationId xmlns:a16="http://schemas.microsoft.com/office/drawing/2014/main" id="{B0959868-946B-E07A-6551-7C2B0FC7C38B}"/>
            </a:ext>
          </a:extLst>
        </xdr:cNvPr>
        <xdr:cNvSpPr txBox="1"/>
      </xdr:nvSpPr>
      <xdr:spPr>
        <a:xfrm>
          <a:off x="11325746" y="2241454"/>
          <a:ext cx="2748508" cy="100462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The correlation of –0.20 indicates a weak negative relationship between ad spend and clicks, showing that higher budgets did not consistently lead to higher user engagement</a:t>
          </a:r>
          <a:endParaRPr lang="en-US" sz="1100" b="1"/>
        </a:p>
      </xdr:txBody>
    </xdr:sp>
    <xdr:clientData/>
  </xdr:twoCellAnchor>
  <xdr:twoCellAnchor>
    <xdr:from>
      <xdr:col>11</xdr:col>
      <xdr:colOff>0</xdr:colOff>
      <xdr:row>2</xdr:row>
      <xdr:rowOff>0</xdr:rowOff>
    </xdr:from>
    <xdr:to>
      <xdr:col>11</xdr:col>
      <xdr:colOff>989753</xdr:colOff>
      <xdr:row>3</xdr:row>
      <xdr:rowOff>110285</xdr:rowOff>
    </xdr:to>
    <xdr:sp macro="" textlink="">
      <xdr:nvSpPr>
        <xdr:cNvPr id="9" name="TextBox 8">
          <a:extLst>
            <a:ext uri="{FF2B5EF4-FFF2-40B4-BE49-F238E27FC236}">
              <a16:creationId xmlns:a16="http://schemas.microsoft.com/office/drawing/2014/main" id="{3237A544-62B1-412A-8941-F54DE5A53FC8}"/>
            </a:ext>
          </a:extLst>
        </xdr:cNvPr>
        <xdr:cNvSpPr txBox="1"/>
      </xdr:nvSpPr>
      <xdr:spPr>
        <a:xfrm>
          <a:off x="9207500" y="367632"/>
          <a:ext cx="989753" cy="2941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t>Task-6.3</a:t>
          </a:r>
          <a:endParaRPr lang="en-US" sz="1200" b="1"/>
        </a:p>
      </xdr:txBody>
    </xdr:sp>
    <xdr:clientData/>
  </xdr:twoCellAnchor>
  <xdr:twoCellAnchor>
    <xdr:from>
      <xdr:col>9</xdr:col>
      <xdr:colOff>476253</xdr:colOff>
      <xdr:row>3</xdr:row>
      <xdr:rowOff>167105</xdr:rowOff>
    </xdr:from>
    <xdr:to>
      <xdr:col>13</xdr:col>
      <xdr:colOff>384655</xdr:colOff>
      <xdr:row>6</xdr:row>
      <xdr:rowOff>125330</xdr:rowOff>
    </xdr:to>
    <xdr:sp macro="" textlink="">
      <xdr:nvSpPr>
        <xdr:cNvPr id="10" name="TextBox 9">
          <a:extLst>
            <a:ext uri="{FF2B5EF4-FFF2-40B4-BE49-F238E27FC236}">
              <a16:creationId xmlns:a16="http://schemas.microsoft.com/office/drawing/2014/main" id="{F9079C2C-E707-4F95-8465-6162E616ABB0}"/>
            </a:ext>
          </a:extLst>
        </xdr:cNvPr>
        <xdr:cNvSpPr txBox="1"/>
      </xdr:nvSpPr>
      <xdr:spPr>
        <a:xfrm>
          <a:off x="8188161" y="718552"/>
          <a:ext cx="3325705" cy="509673"/>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Correlation between Ad Spend vs. Follower Growth/App Downloads</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1.472842939816" createdVersion="8" refreshedVersion="8" minRefreshableVersion="3" recordCount="300" xr:uid="{D215ED47-CD22-4809-B5E8-04E162DD299B}">
  <cacheSource type="worksheet">
    <worksheetSource name="Table1"/>
  </cacheSource>
  <cacheFields count="17">
    <cacheField name="Post ID" numFmtId="0">
      <sharedItems/>
    </cacheField>
    <cacheField name="Platform" numFmtId="0">
      <sharedItems count="3">
        <s v="Instagram"/>
        <s v="Twitter"/>
        <s v="YouTube"/>
      </sharedItems>
    </cacheField>
    <cacheField name="Date" numFmtId="165">
      <sharedItems containsSemiMixedTypes="0" containsNonDate="0" containsDate="1" containsString="0" minDate="2024-01-01T00:00:00" maxDate="2025-07-02T00:00:00" count="235">
        <d v="2025-05-04T00:00:00"/>
        <d v="2025-02-01T00:00:00"/>
        <d v="2024-12-03T00:00:00"/>
        <d v="2024-04-06T00:00:00"/>
        <d v="2024-06-13T00:00:00"/>
        <d v="2024-12-19T00:00:00"/>
        <d v="2024-05-09T00:00:00"/>
        <d v="2025-06-15T00:00:00"/>
        <d v="2024-12-04T00:00:00"/>
        <d v="2024-03-06T00:00:00"/>
        <d v="2024-05-14T00:00:00"/>
        <d v="2025-06-18T00:00:00"/>
        <d v="2024-10-08T00:00:00"/>
        <d v="2024-05-06T00:00:00"/>
        <d v="2024-12-29T00:00:00"/>
        <d v="2024-06-10T00:00:00"/>
        <d v="2024-02-03T00:00:00"/>
        <d v="2024-06-15T00:00:00"/>
        <d v="2024-07-05T00:00:00"/>
        <d v="2024-11-07T00:00:00"/>
        <d v="2024-06-09T00:00:00"/>
        <d v="2024-10-18T00:00:00"/>
        <d v="2024-10-10T00:00:00"/>
        <d v="2025-05-14T00:00:00"/>
        <d v="2024-11-29T00:00:00"/>
        <d v="2024-03-05T00:00:00"/>
        <d v="2025-03-18T00:00:00"/>
        <d v="2025-04-26T00:00:00"/>
        <d v="2025-01-01T00:00:00"/>
        <d v="2024-05-07T00:00:00"/>
        <d v="2024-10-09T00:00:00"/>
        <d v="2025-01-09T00:00:00"/>
        <d v="2025-05-08T00:00:00"/>
        <d v="2024-05-04T00:00:00"/>
        <d v="2025-05-27T00:00:00"/>
        <d v="2024-09-10T00:00:00"/>
        <d v="2024-11-25T00:00:00"/>
        <d v="2025-06-10T00:00:00"/>
        <d v="2024-04-19T00:00:00"/>
        <d v="2025-01-26T00:00:00"/>
        <d v="2025-02-14T00:00:00"/>
        <d v="2024-09-06T00:00:00"/>
        <d v="2024-07-14T00:00:00"/>
        <d v="2024-02-12T00:00:00"/>
        <d v="2024-03-14T00:00:00"/>
        <d v="2025-02-05T00:00:00"/>
        <d v="2024-08-29T00:00:00"/>
        <d v="2025-04-22T00:00:00"/>
        <d v="2024-05-13T00:00:00"/>
        <d v="2024-09-04T00:00:00"/>
        <d v="2024-08-12T00:00:00"/>
        <d v="2025-03-06T00:00:00"/>
        <d v="2024-05-08T00:00:00"/>
        <d v="2025-02-19T00:00:00"/>
        <d v="2024-01-08T00:00:00"/>
        <d v="2024-07-17T00:00:00"/>
        <d v="2024-08-10T00:00:00"/>
        <d v="2024-04-16T00:00:00"/>
        <d v="2024-01-01T00:00:00"/>
        <d v="2024-11-03T00:00:00"/>
        <d v="2024-07-07T00:00:00"/>
        <d v="2025-01-22T00:00:00"/>
        <d v="2024-05-26T00:00:00"/>
        <d v="2025-04-16T00:00:00"/>
        <d v="2024-04-02T00:00:00"/>
        <d v="2024-03-28T00:00:00"/>
        <d v="2024-12-17T00:00:00"/>
        <d v="2025-01-05T00:00:00"/>
        <d v="2024-01-11T00:00:00"/>
        <d v="2024-10-11T00:00:00"/>
        <d v="2025-05-06T00:00:00"/>
        <d v="2024-05-19T00:00:00"/>
        <d v="2024-01-22T00:00:00"/>
        <d v="2025-05-28T00:00:00"/>
        <d v="2025-01-21T00:00:00"/>
        <d v="2024-01-13T00:00:00"/>
        <d v="2025-06-17T00:00:00"/>
        <d v="2025-03-07T00:00:00"/>
        <d v="2024-08-26T00:00:00"/>
        <d v="2025-01-03T00:00:00"/>
        <d v="2024-08-03T00:00:00"/>
        <d v="2024-08-18T00:00:00"/>
        <d v="2024-04-23T00:00:00"/>
        <d v="2025-02-17T00:00:00"/>
        <d v="2024-07-22T00:00:00"/>
        <d v="2025-04-27T00:00:00"/>
        <d v="2024-03-25T00:00:00"/>
        <d v="2024-02-29T00:00:00"/>
        <d v="2024-11-13T00:00:00"/>
        <d v="2024-03-22T00:00:00"/>
        <d v="2024-03-16T00:00:00"/>
        <d v="2024-01-26T00:00:00"/>
        <d v="2024-03-15T00:00:00"/>
        <d v="2024-10-15T00:00:00"/>
        <d v="2024-07-21T00:00:00"/>
        <d v="2024-10-12T00:00:00"/>
        <d v="2024-10-26T00:00:00"/>
        <d v="2024-02-14T00:00:00"/>
        <d v="2024-05-01T00:00:00"/>
        <d v="2024-09-18T00:00:00"/>
        <d v="2025-01-20T00:00:00"/>
        <d v="2025-01-13T00:00:00"/>
        <d v="2024-09-07T00:00:00"/>
        <d v="2024-11-21T00:00:00"/>
        <d v="2024-06-26T00:00:00"/>
        <d v="2024-07-20T00:00:00"/>
        <d v="2025-02-16T00:00:00"/>
        <d v="2024-09-09T00:00:00"/>
        <d v="2024-07-16T00:00:00"/>
        <d v="2025-04-15T00:00:00"/>
        <d v="2024-02-18T00:00:00"/>
        <d v="2024-05-16T00:00:00"/>
        <d v="2025-05-29T00:00:00"/>
        <d v="2025-01-17T00:00:00"/>
        <d v="2025-04-30T00:00:00"/>
        <d v="2024-02-24T00:00:00"/>
        <d v="2024-05-12T00:00:00"/>
        <d v="2024-11-06T00:00:00"/>
        <d v="2024-01-04T00:00:00"/>
        <d v="2024-01-28T00:00:00"/>
        <d v="2024-02-22T00:00:00"/>
        <d v="2025-07-01T00:00:00"/>
        <d v="2024-01-10T00:00:00"/>
        <d v="2025-03-20T00:00:00"/>
        <d v="2024-09-28T00:00:00"/>
        <d v="2024-01-27T00:00:00"/>
        <d v="2025-05-15T00:00:00"/>
        <d v="2024-10-04T00:00:00"/>
        <d v="2024-11-19T00:00:00"/>
        <d v="2024-04-05T00:00:00"/>
        <d v="2024-11-28T00:00:00"/>
        <d v="2025-03-09T00:00:00"/>
        <d v="2024-08-27T00:00:00"/>
        <d v="2024-10-01T00:00:00"/>
        <d v="2024-12-21T00:00:00"/>
        <d v="2024-06-17T00:00:00"/>
        <d v="2025-05-22T00:00:00"/>
        <d v="2024-01-21T00:00:00"/>
        <d v="2025-02-08T00:00:00"/>
        <d v="2025-04-13T00:00:00"/>
        <d v="2024-05-30T00:00:00"/>
        <d v="2024-09-27T00:00:00"/>
        <d v="2025-06-11T00:00:00"/>
        <d v="2024-04-25T00:00:00"/>
        <d v="2024-09-03T00:00:00"/>
        <d v="2025-03-02T00:00:00"/>
        <d v="2025-03-21T00:00:00"/>
        <d v="2024-04-12T00:00:00"/>
        <d v="2024-02-08T00:00:00"/>
        <d v="2025-05-26T00:00:00"/>
        <d v="2024-11-14T00:00:00"/>
        <d v="2024-08-09T00:00:00"/>
        <d v="2025-06-27T00:00:00"/>
        <d v="2025-01-27T00:00:00"/>
        <d v="2024-04-03T00:00:00"/>
        <d v="2024-11-23T00:00:00"/>
        <d v="2024-09-01T00:00:00"/>
        <d v="2024-04-18T00:00:00"/>
        <d v="2024-06-04T00:00:00"/>
        <d v="2025-04-02T00:00:00"/>
        <d v="2025-04-01T00:00:00"/>
        <d v="2024-07-02T00:00:00"/>
        <d v="2024-11-10T00:00:00"/>
        <d v="2024-12-14T00:00:00"/>
        <d v="2024-03-19T00:00:00"/>
        <d v="2024-07-23T00:00:00"/>
        <d v="2024-07-13T00:00:00"/>
        <d v="2024-06-16T00:00:00"/>
        <d v="2025-05-18T00:00:00"/>
        <d v="2025-06-06T00:00:00"/>
        <d v="2025-02-20T00:00:00"/>
        <d v="2025-01-16T00:00:00"/>
        <d v="2024-09-16T00:00:00"/>
        <d v="2024-05-10T00:00:00"/>
        <d v="2024-01-14T00:00:00"/>
        <d v="2025-01-12T00:00:00"/>
        <d v="2024-12-08T00:00:00"/>
        <d v="2024-07-11T00:00:00"/>
        <d v="2024-03-18T00:00:00"/>
        <d v="2024-09-12T00:00:00"/>
        <d v="2024-10-06T00:00:00"/>
        <d v="2024-12-30T00:00:00"/>
        <d v="2024-08-21T00:00:00"/>
        <d v="2025-04-07T00:00:00"/>
        <d v="2024-07-19T00:00:00"/>
        <d v="2025-05-03T00:00:00"/>
        <d v="2024-04-14T00:00:00"/>
        <d v="2025-06-19T00:00:00"/>
        <d v="2025-06-24T00:00:00"/>
        <d v="2025-01-15T00:00:00"/>
        <d v="2025-05-31T00:00:00"/>
        <d v="2024-10-14T00:00:00"/>
        <d v="2024-02-10T00:00:00"/>
        <d v="2024-12-10T00:00:00"/>
        <d v="2025-05-09T00:00:00"/>
        <d v="2025-06-21T00:00:00"/>
        <d v="2024-06-19T00:00:00"/>
        <d v="2024-02-01T00:00:00"/>
        <d v="2024-01-17T00:00:00"/>
        <d v="2025-03-22T00:00:00"/>
        <d v="2024-10-20T00:00:00"/>
        <d v="2024-02-02T00:00:00"/>
        <d v="2024-12-20T00:00:00"/>
        <d v="2024-12-13T00:00:00"/>
        <d v="2024-09-15T00:00:00"/>
        <d v="2025-04-12T00:00:00"/>
        <d v="2025-06-08T00:00:00"/>
        <d v="2024-07-08T00:00:00"/>
        <d v="2024-06-14T00:00:00"/>
        <d v="2024-08-08T00:00:00"/>
        <d v="2025-02-03T00:00:00"/>
        <d v="2024-06-08T00:00:00"/>
        <d v="2025-01-19T00:00:00"/>
        <d v="2024-11-16T00:00:00"/>
        <d v="2024-11-30T00:00:00"/>
        <d v="2024-03-27T00:00:00"/>
        <d v="2024-11-08T00:00:00"/>
        <d v="2024-03-17T00:00:00"/>
        <d v="2024-06-21T00:00:00"/>
        <d v="2024-02-19T00:00:00"/>
        <d v="2025-03-04T00:00:00"/>
        <d v="2024-12-02T00:00:00"/>
        <d v="2024-01-07T00:00:00"/>
        <d v="2024-02-21T00:00:00"/>
        <d v="2024-10-24T00:00:00"/>
        <d v="2025-01-29T00:00:00"/>
        <d v="2024-06-25T00:00:00"/>
        <d v="2024-08-13T00:00:00"/>
        <d v="2024-06-29T00:00:00"/>
        <d v="2025-04-18T00:00:00"/>
        <d v="2024-12-27T00:00:00"/>
        <d v="2025-03-08T00:00:00"/>
        <d v="2025-06-30T00:00:00"/>
        <d v="2024-01-12T00:00:00"/>
        <d v="2024-02-07T00:00:00"/>
      </sharedItems>
      <fieldGroup par="16"/>
    </cacheField>
    <cacheField name="Content Type" numFmtId="0">
      <sharedItems count="3">
        <s v="Text"/>
        <s v="Story"/>
        <s v="Reel"/>
      </sharedItems>
    </cacheField>
    <cacheField name="Post Text" numFmtId="0">
      <sharedItems/>
    </cacheField>
    <cacheField name="Likes" numFmtId="0">
      <sharedItems containsSemiMixedTypes="0" containsString="0" containsNumber="1" containsInteger="1" minValue="1010" maxValue="4995" count="290">
        <n v="2414"/>
        <n v="1934"/>
        <n v="3092"/>
        <n v="3173"/>
        <n v="2748"/>
        <n v="3882"/>
        <n v="4674"/>
        <n v="1428"/>
        <n v="4432"/>
        <n v="2357"/>
        <n v="1971"/>
        <n v="1485"/>
        <n v="3956"/>
        <n v="2460"/>
        <n v="3476"/>
        <n v="4049"/>
        <n v="1514"/>
        <n v="4281"/>
        <n v="1751"/>
        <n v="3753"/>
        <n v="1678"/>
        <n v="4896"/>
        <n v="2786"/>
        <n v="2607"/>
        <n v="4013"/>
        <n v="2707"/>
        <n v="2824"/>
        <n v="3558"/>
        <n v="3418"/>
        <n v="2411"/>
        <n v="4036"/>
        <n v="2776"/>
        <n v="4929"/>
        <n v="1015"/>
        <n v="3316"/>
        <n v="2274"/>
        <n v="4095"/>
        <n v="1230"/>
        <n v="1341"/>
        <n v="3615"/>
        <n v="4001"/>
        <n v="3451"/>
        <n v="4891"/>
        <n v="1452"/>
        <n v="3806"/>
        <n v="2923"/>
        <n v="3361"/>
        <n v="3074"/>
        <n v="4276"/>
        <n v="4401"/>
        <n v="4161"/>
        <n v="2613"/>
        <n v="2842"/>
        <n v="4851"/>
        <n v="1828"/>
        <n v="2422"/>
        <n v="2683"/>
        <n v="3135"/>
        <n v="1105"/>
        <n v="3437"/>
        <n v="1959"/>
        <n v="1035"/>
        <n v="4478"/>
        <n v="1488"/>
        <n v="4836"/>
        <n v="4563"/>
        <n v="3276"/>
        <n v="1316"/>
        <n v="4811"/>
        <n v="4218"/>
        <n v="1360"/>
        <n v="1085"/>
        <n v="1763"/>
        <n v="1554"/>
        <n v="2464"/>
        <n v="2418"/>
        <n v="2494"/>
        <n v="4781"/>
        <n v="2284"/>
        <n v="4234"/>
        <n v="2102"/>
        <n v="4845"/>
        <n v="4247"/>
        <n v="2965"/>
        <n v="1371"/>
        <n v="4796"/>
        <n v="2601"/>
        <n v="3336"/>
        <n v="1165"/>
        <n v="1948"/>
        <n v="1100"/>
        <n v="4628"/>
        <n v="2319"/>
        <n v="2895"/>
        <n v="3878"/>
        <n v="4969"/>
        <n v="1984"/>
        <n v="3004"/>
        <n v="3169"/>
        <n v="3036"/>
        <n v="1830"/>
        <n v="2587"/>
        <n v="2878"/>
        <n v="4619"/>
        <n v="4090"/>
        <n v="4581"/>
        <n v="3253"/>
        <n v="4955"/>
        <n v="1333"/>
        <n v="1616"/>
        <n v="1803"/>
        <n v="4177"/>
        <n v="1311"/>
        <n v="1516"/>
        <n v="2023"/>
        <n v="2134"/>
        <n v="2266"/>
        <n v="3916"/>
        <n v="1022"/>
        <n v="2911"/>
        <n v="3277"/>
        <n v="2956"/>
        <n v="3208"/>
        <n v="1456"/>
        <n v="1902"/>
        <n v="3219"/>
        <n v="1261"/>
        <n v="1564"/>
        <n v="4006"/>
        <n v="1976"/>
        <n v="1583"/>
        <n v="2870"/>
        <n v="3728"/>
        <n v="4965"/>
        <n v="1131"/>
        <n v="2754"/>
        <n v="1856"/>
        <n v="3543"/>
        <n v="4283"/>
        <n v="2329"/>
        <n v="4287"/>
        <n v="2633"/>
        <n v="2383"/>
        <n v="4752"/>
        <n v="3890"/>
        <n v="2311"/>
        <n v="2962"/>
        <n v="3118"/>
        <n v="3805"/>
        <n v="2525"/>
        <n v="3563"/>
        <n v="1437"/>
        <n v="4425"/>
        <n v="4609"/>
        <n v="1558"/>
        <n v="1889"/>
        <n v="3086"/>
        <n v="3414"/>
        <n v="1342"/>
        <n v="4383"/>
        <n v="4294"/>
        <n v="2762"/>
        <n v="3782"/>
        <n v="4318"/>
        <n v="2335"/>
        <n v="4023"/>
        <n v="3948"/>
        <n v="4598"/>
        <n v="2665"/>
        <n v="3469"/>
        <n v="4823"/>
        <n v="3812"/>
        <n v="2387"/>
        <n v="3929"/>
        <n v="2191"/>
        <n v="3204"/>
        <n v="2408"/>
        <n v="2733"/>
        <n v="4618"/>
        <n v="4210"/>
        <n v="3987"/>
        <n v="4957"/>
        <n v="2605"/>
        <n v="4221"/>
        <n v="4422"/>
        <n v="1211"/>
        <n v="2784"/>
        <n v="3634"/>
        <n v="1771"/>
        <n v="1424"/>
        <n v="1079"/>
        <n v="2033"/>
        <n v="1839"/>
        <n v="2340"/>
        <n v="2080"/>
        <n v="4214"/>
        <n v="3792"/>
        <n v="3989"/>
        <n v="2857"/>
        <n v="1403"/>
        <n v="3071"/>
        <n v="1010"/>
        <n v="1295"/>
        <n v="1433"/>
        <n v="4902"/>
        <n v="2659"/>
        <n v="2599"/>
        <n v="1765"/>
        <n v="2169"/>
        <n v="4303"/>
        <n v="1519"/>
        <n v="2569"/>
        <n v="2778"/>
        <n v="3611"/>
        <n v="1224"/>
        <n v="4673"/>
        <n v="1432"/>
        <n v="2174"/>
        <n v="4308"/>
        <n v="1060"/>
        <n v="4653"/>
        <n v="1701"/>
        <n v="1673"/>
        <n v="4310"/>
        <n v="2752"/>
        <n v="3818"/>
        <n v="2101"/>
        <n v="2519"/>
        <n v="4502"/>
        <n v="2478"/>
        <n v="4984"/>
        <n v="4774"/>
        <n v="2145"/>
        <n v="4315"/>
        <n v="2267"/>
        <n v="4375"/>
        <n v="3817"/>
        <n v="2981"/>
        <n v="3300"/>
        <n v="4722"/>
        <n v="3529"/>
        <n v="4782"/>
        <n v="1848"/>
        <n v="4676"/>
        <n v="1994"/>
        <n v="4995"/>
        <n v="2291"/>
        <n v="2304"/>
        <n v="3413"/>
        <n v="1453"/>
        <n v="1651"/>
        <n v="3341"/>
        <n v="2972"/>
        <n v="4963"/>
        <n v="2399"/>
        <n v="2162"/>
        <n v="4341"/>
        <n v="2448"/>
        <n v="2471"/>
        <n v="2692"/>
        <n v="4621"/>
        <n v="1409"/>
        <n v="3029"/>
        <n v="2229"/>
        <n v="2691"/>
        <n v="2110"/>
        <n v="2177"/>
        <n v="1205"/>
        <n v="3194"/>
        <n v="3507"/>
        <n v="4471"/>
        <n v="4931"/>
        <n v="2604"/>
        <n v="4197"/>
        <n v="1914"/>
        <n v="1334"/>
        <n v="3359"/>
        <n v="2172"/>
        <n v="4877"/>
        <n v="4918"/>
        <n v="2088"/>
        <n v="3061"/>
        <n v="1265"/>
        <n v="1436"/>
        <n v="2244"/>
        <n v="3393"/>
        <n v="2901"/>
        <n v="2275"/>
        <n v="2227"/>
        <n v="1883"/>
      </sharedItems>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Impressions" numFmtId="0">
      <sharedItems containsSemiMixedTypes="0" containsString="0" containsNumber="1" containsInteger="1" minValue="20368" maxValue="59888"/>
    </cacheField>
    <cacheField name="Reach" numFmtId="0">
      <sharedItems containsSemiMixedTypes="0" containsString="0" containsNumber="1" containsInteger="1" minValue="18091" maxValue="74761"/>
    </cacheField>
    <cacheField name="Clicks" numFmtId="0">
      <sharedItems containsSemiMixedTypes="0" containsString="0" containsNumber="1" containsInteger="1" minValue="80" maxValue="299"/>
    </cacheField>
    <cacheField name="Hashtags Used" numFmtId="0">
      <sharedItems count="8">
        <s v="#SoundtrackOfLife,#NowPlaying"/>
        <s v="#DiscoverWeekly"/>
        <s v="#MusicForEveryone,#NowPlaying"/>
        <s v="#DiscoverWeekly,#SpotifyWrapped"/>
        <s v="#DiscoverWeekly,#MusicForEveryone"/>
        <s v="#NowPlaying"/>
        <s v="#SoundtrackOfLife"/>
        <s v="#DiscoverWeekly,#SoundtrackOfLife"/>
      </sharedItems>
    </cacheField>
    <cacheField name="Campaign_Name" numFmtId="0">
      <sharedItems count="4">
        <s v="ChillVibes"/>
        <s v="IndieWave"/>
        <s v="Wrapped2024"/>
        <s v="SummerBeats"/>
      </sharedItems>
    </cacheField>
    <cacheField name="Platform Engagement Rate" numFmtId="0" formula=" (Likes+Shares+Comments)/Impressions" databaseField="0"/>
    <cacheField name="Plateform Engagement rate" numFmtId="0" formula="(Likes+Shares+Comments)/Impressions" databaseField="0"/>
    <cacheField name="Total Engagement" numFmtId="0" formula="Likes+Shares+Comments" databaseField="0"/>
    <cacheField name="Days (Date)" numFmtId="0" databaseField="0">
      <fieldGroup base="2">
        <rangePr groupBy="days" startDate="2024-01-01T00:00:00" endDate="2025-07-02T00:00:00" groupInterval="7"/>
        <groupItems count="81">
          <s v="&lt;1/1/2024"/>
          <s v="1/1/2024 - 1/7/2024"/>
          <s v="1/8/2024 - 1/14/2024"/>
          <s v="1/15/2024 - 1/21/2024"/>
          <s v="1/22/2024 - 1/28/2024"/>
          <s v="1/29/2024 - 2/4/2024"/>
          <s v="2/5/2024 - 2/11/2024"/>
          <s v="2/12/2024 - 2/18/2024"/>
          <s v="2/19/2024 - 2/25/2024"/>
          <s v="2/26/2024 - 3/3/2024"/>
          <s v="3/4/2024 - 3/10/2024"/>
          <s v="3/11/2024 - 3/17/2024"/>
          <s v="3/18/2024 - 3/24/2024"/>
          <s v="3/25/2024 - 3/31/2024"/>
          <s v="4/1/2024 - 4/7/2024"/>
          <s v="4/8/2024 - 4/14/2024"/>
          <s v="4/15/2024 - 4/21/2024"/>
          <s v="4/22/2024 - 4/28/2024"/>
          <s v="4/29/2024 - 5/5/2024"/>
          <s v="5/6/2024 - 5/12/2024"/>
          <s v="5/13/2024 - 5/19/2024"/>
          <s v="5/20/2024 - 5/26/2024"/>
          <s v="5/27/2024 - 6/2/2024"/>
          <s v="6/3/2024 - 6/9/2024"/>
          <s v="6/10/2024 - 6/16/2024"/>
          <s v="6/17/2024 - 6/23/2024"/>
          <s v="6/24/2024 - 6/30/2024"/>
          <s v="7/1/2024 - 7/7/2024"/>
          <s v="7/8/2024 - 7/14/2024"/>
          <s v="7/15/2024 - 7/21/2024"/>
          <s v="7/22/2024 - 7/28/2024"/>
          <s v="7/29/2024 - 8/4/2024"/>
          <s v="8/5/2024 - 8/11/2024"/>
          <s v="8/12/2024 - 8/18/2024"/>
          <s v="8/19/2024 - 8/25/2024"/>
          <s v="8/26/2024 - 9/1/2024"/>
          <s v="9/2/2024 - 9/8/2024"/>
          <s v="9/9/2024 - 9/15/2024"/>
          <s v="9/16/2024 - 9/22/2024"/>
          <s v="9/23/2024 - 9/29/2024"/>
          <s v="9/30/2024 - 10/6/2024"/>
          <s v="10/7/2024 - 10/13/2024"/>
          <s v="10/14/2024 - 10/20/2024"/>
          <s v="10/21/2024 - 10/27/2024"/>
          <s v="10/28/2024 - 11/3/2024"/>
          <s v="11/4/2024 - 11/10/2024"/>
          <s v="11/11/2024 - 11/17/2024"/>
          <s v="11/18/2024 - 11/24/2024"/>
          <s v="11/25/2024 - 12/1/2024"/>
          <s v="12/2/2024 - 12/8/2024"/>
          <s v="12/9/2024 - 12/15/2024"/>
          <s v="12/16/2024 - 12/22/2024"/>
          <s v="12/23/2024 - 12/29/2024"/>
          <s v="12/30/2024 - 1/5/2025"/>
          <s v="1/6/2025 - 1/12/2025"/>
          <s v="1/13/2025 - 1/19/2025"/>
          <s v="1/20/2025 - 1/26/2025"/>
          <s v="1/27/2025 - 2/2/2025"/>
          <s v="2/3/2025 - 2/9/2025"/>
          <s v="2/10/2025 - 2/16/2025"/>
          <s v="2/17/2025 - 2/23/2025"/>
          <s v="2/24/2025 - 3/2/2025"/>
          <s v="3/3/2025 - 3/9/2025"/>
          <s v="3/10/2025 - 3/16/2025"/>
          <s v="3/17/2025 - 3/23/2025"/>
          <s v="3/24/2025 - 3/30/2025"/>
          <s v="3/31/2025 - 4/6/2025"/>
          <s v="4/7/2025 - 4/13/2025"/>
          <s v="4/14/2025 - 4/20/2025"/>
          <s v="4/21/2025 - 4/27/2025"/>
          <s v="4/28/2025 - 5/4/2025"/>
          <s v="5/5/2025 - 5/11/2025"/>
          <s v="5/12/2025 - 5/18/2025"/>
          <s v="5/19/2025 - 5/25/2025"/>
          <s v="5/26/2025 - 6/1/2025"/>
          <s v="6/2/2025 - 6/8/2025"/>
          <s v="6/9/2025 - 6/15/2025"/>
          <s v="6/16/2025 - 6/22/2025"/>
          <s v="6/23/2025 - 6/29/2025"/>
          <s v="6/30/2025 - 7/2/2025"/>
          <s v="&gt;7/2/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1.627012037039" createdVersion="8" refreshedVersion="8" minRefreshableVersion="3" recordCount="200" xr:uid="{6EC670F1-16B1-4E0E-A880-1309456386D2}">
  <cacheSource type="worksheet">
    <worksheetSource ref="A1:I201" sheet="Task-3 Engagement Summary"/>
  </cacheSource>
  <cacheFields count="9">
    <cacheField name="Week_Start_Date" numFmtId="0">
      <sharedItems containsSemiMixedTypes="0" containsNonDate="0" containsDate="1" containsString="0" minDate="2024-06-03T00:00:00" maxDate="2025-09-09T00:00:00"/>
    </cacheField>
    <cacheField name="Platform" numFmtId="0">
      <sharedItems count="3">
        <s v="Instagram"/>
        <s v="Twitter"/>
        <s v="YouTube"/>
      </sharedItems>
    </cacheField>
    <cacheField name="New_Followers" numFmtId="0">
      <sharedItems containsSemiMixedTypes="0" containsString="0" containsNumber="1" containsInteger="1" minValue="503" maxValue="1490"/>
    </cacheField>
    <cacheField name="Unfollows" numFmtId="0">
      <sharedItems containsSemiMixedTypes="0" containsString="0" containsNumber="1" containsInteger="1" minValue="50" maxValue="296"/>
    </cacheField>
    <cacheField name="Total_Followers" numFmtId="0">
      <sharedItems containsSemiMixedTypes="0" containsString="0" containsNumber="1" containsInteger="1" minValue="61445" maxValue="397607"/>
    </cacheField>
    <cacheField name="Engagement_Rate" numFmtId="0">
      <sharedItems containsSemiMixedTypes="0" containsString="0" containsNumber="1" minValue="3.08" maxValue="9.99"/>
    </cacheField>
    <cacheField name="Ad_Spend" numFmtId="0">
      <sharedItems containsSemiMixedTypes="0" containsString="0" containsNumber="1" containsInteger="1" minValue="5281" maxValue="27829"/>
    </cacheField>
    <cacheField name="Net_Growth" numFmtId="0">
      <sharedItems containsSemiMixedTypes="0" containsString="0" containsNumber="1" containsInteger="1" minValue="250" maxValue="1397"/>
    </cacheField>
    <cacheField name="Growth_Rate" numFmtId="10">
      <sharedItems containsSemiMixedTypes="0" containsString="0" containsNumber="1" minValue="7.9729048800556194E-4" maxValue="1.7836234485988603E-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1.735000925924" createdVersion="8" refreshedVersion="8" minRefreshableVersion="3" recordCount="200" xr:uid="{B5ED1349-9816-4207-B2C0-325822BCE65B}">
  <cacheSource type="worksheet">
    <worksheetSource ref="A1:I201" sheet="Task-3 Engagement Summary"/>
  </cacheSource>
  <cacheFields count="10">
    <cacheField name="Week_Start_Date" numFmtId="0">
      <sharedItems containsSemiMixedTypes="0" containsNonDate="0" containsDate="1" containsString="0" minDate="2024-06-03T00:00:00" maxDate="2025-09-09T00:00:00"/>
    </cacheField>
    <cacheField name="Platform" numFmtId="0">
      <sharedItems count="3">
        <s v="Instagram"/>
        <s v="Twitter"/>
        <s v="YouTube"/>
      </sharedItems>
    </cacheField>
    <cacheField name="New_Followers" numFmtId="0">
      <sharedItems containsSemiMixedTypes="0" containsString="0" containsNumber="1" containsInteger="1" minValue="503" maxValue="1490"/>
    </cacheField>
    <cacheField name="Unfollows" numFmtId="0">
      <sharedItems containsSemiMixedTypes="0" containsString="0" containsNumber="1" containsInteger="1" minValue="50" maxValue="296"/>
    </cacheField>
    <cacheField name="Total_Followers" numFmtId="0">
      <sharedItems containsSemiMixedTypes="0" containsString="0" containsNumber="1" containsInteger="1" minValue="61445" maxValue="397607"/>
    </cacheField>
    <cacheField name="Engagement_Rate" numFmtId="0">
      <sharedItems containsSemiMixedTypes="0" containsString="0" containsNumber="1" minValue="3.08" maxValue="9.99"/>
    </cacheField>
    <cacheField name="Ad_Spend" numFmtId="0">
      <sharedItems containsSemiMixedTypes="0" containsString="0" containsNumber="1" containsInteger="1" minValue="5281" maxValue="27829"/>
    </cacheField>
    <cacheField name="Net_Growth" numFmtId="0">
      <sharedItems containsSemiMixedTypes="0" containsString="0" containsNumber="1" containsInteger="1" minValue="250" maxValue="1397"/>
    </cacheField>
    <cacheField name="Growth_Rate" numFmtId="10">
      <sharedItems containsSemiMixedTypes="0" containsString="0" containsNumber="1" minValue="7.9729048800556194E-4" maxValue="1.7836234485988603E-2"/>
    </cacheField>
    <cacheField name="Cost_per_Engagement" numFmtId="44">
      <sharedItems containsSemiMixedTypes="0" containsString="0" containsNumber="1" minValue="1.094224924012158" maxValue="16.72379778051788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8.830077546299" createdVersion="8" refreshedVersion="8" minRefreshableVersion="3" recordCount="300" xr:uid="{07F6A2F4-0B50-45CF-92F8-85424E3B94A0}">
  <cacheSource type="worksheet">
    <worksheetSource name="Table1_1"/>
  </cacheSource>
  <cacheFields count="16">
    <cacheField name="Post ID" numFmtId="0">
      <sharedItems count="300">
        <s v="SP007"/>
        <s v="SP106"/>
        <s v="SP186"/>
        <s v="SP279"/>
        <s v="SP050"/>
        <s v="SP022"/>
        <s v="SP157"/>
        <s v="SP248"/>
        <s v="SP136"/>
        <s v="SP068"/>
        <s v="SP088"/>
        <s v="SP213"/>
        <s v="SP250"/>
        <s v="SP067"/>
        <s v="SP090"/>
        <s v="SP177"/>
        <s v="SP239"/>
        <s v="SP234"/>
        <s v="SP183"/>
        <s v="SP111"/>
        <s v="SP137"/>
        <s v="SP246"/>
        <s v="SP172"/>
        <s v="SP084"/>
        <s v="SP033"/>
        <s v="SP167"/>
        <s v="SP158"/>
        <s v="SP071"/>
        <s v="SP110"/>
        <s v="SP048"/>
        <s v="SP290"/>
        <s v="SP161"/>
        <s v="SP170"/>
        <s v="SP254"/>
        <s v="SP020"/>
        <s v="SP052"/>
        <s v="SP271"/>
        <s v="SP083"/>
        <s v="SP249"/>
        <s v="SP046"/>
        <s v="SP102"/>
        <s v="SP040"/>
        <s v="SP094"/>
        <s v="SP079"/>
        <s v="SP095"/>
        <s v="SP018"/>
        <s v="SP199"/>
        <s v="SP056"/>
        <s v="SP109"/>
        <s v="SP096"/>
        <s v="SP078"/>
        <s v="SP242"/>
        <s v="SP001"/>
        <s v="SP005"/>
        <s v="SP237"/>
        <s v="SP010"/>
        <s v="SP292"/>
        <s v="SP187"/>
        <s v="SP221"/>
        <s v="SP214"/>
        <s v="SP218"/>
        <s v="SP227"/>
        <s v="SP262"/>
        <s v="SP004"/>
        <s v="SP296"/>
        <s v="SP043"/>
        <s v="SP142"/>
        <s v="SP266"/>
        <s v="SP139"/>
        <s v="SP045"/>
        <s v="SP145"/>
        <s v="SP286"/>
        <s v="SP027"/>
        <s v="SP189"/>
        <s v="SP015"/>
        <s v="SP162"/>
        <s v="SP280"/>
        <s v="SP224"/>
        <s v="SP060"/>
        <s v="SP295"/>
        <s v="SP163"/>
        <s v="SP125"/>
        <s v="SP024"/>
        <s v="SP232"/>
        <s v="SP108"/>
        <s v="SP049"/>
        <s v="SP041"/>
        <s v="SP202"/>
        <s v="SP037"/>
        <s v="SP252"/>
        <s v="SP195"/>
        <s v="SP148"/>
        <s v="SP070"/>
        <s v="SP165"/>
        <s v="SP057"/>
        <s v="SP097"/>
        <s v="SP240"/>
        <s v="SP288"/>
        <s v="SP128"/>
        <s v="SP155"/>
        <s v="SP030"/>
        <s v="SP289"/>
        <s v="SP174"/>
        <s v="SP051"/>
        <s v="SP191"/>
        <s v="SP168"/>
        <s v="SP100"/>
        <s v="SP173"/>
        <s v="SP089"/>
        <s v="SP281"/>
        <s v="SP188"/>
        <s v="SP243"/>
        <s v="SP047"/>
        <s v="SP171"/>
        <s v="SP204"/>
        <s v="SP035"/>
        <s v="SP135"/>
        <s v="SP077"/>
        <s v="SP054"/>
        <s v="SP150"/>
        <s v="SP098"/>
        <s v="SP217"/>
        <s v="SP300"/>
        <s v="SP190"/>
        <s v="SP275"/>
        <s v="SP121"/>
        <s v="SP016"/>
        <s v="SP042"/>
        <s v="SP269"/>
        <s v="SP245"/>
        <s v="SP143"/>
        <s v="SP132"/>
        <s v="SP152"/>
        <s v="SP166"/>
        <s v="SP064"/>
        <s v="SP229"/>
        <s v="SP265"/>
        <s v="SP066"/>
        <s v="SP192"/>
        <s v="SP104"/>
        <s v="SP058"/>
        <s v="SP081"/>
        <s v="SP061"/>
        <s v="SP008"/>
        <s v="SP002"/>
        <s v="SP140"/>
        <s v="SP115"/>
        <s v="SP222"/>
        <s v="SP107"/>
        <s v="SP244"/>
        <s v="SP283"/>
        <s v="SP185"/>
        <s v="SP257"/>
        <s v="SP124"/>
        <s v="SP014"/>
        <s v="SP287"/>
        <s v="SP169"/>
        <s v="SP011"/>
        <s v="SP176"/>
        <s v="SP284"/>
        <s v="SP277"/>
        <s v="SP009"/>
        <s v="SP260"/>
        <s v="SP159"/>
        <s v="SP101"/>
        <s v="SP215"/>
        <s v="SP203"/>
        <s v="SP153"/>
        <s v="SP028"/>
        <s v="SP236"/>
        <s v="SP072"/>
        <s v="SP146"/>
        <s v="SP149"/>
        <s v="SP025"/>
        <s v="SP233"/>
        <s v="SP031"/>
        <s v="SP220"/>
        <s v="SP023"/>
        <s v="SP129"/>
        <s v="SP206"/>
        <s v="SP092"/>
        <s v="SP091"/>
        <s v="SP180"/>
        <s v="SP205"/>
        <s v="SP209"/>
        <s v="SP076"/>
        <s v="SP032"/>
        <s v="SP259"/>
        <s v="SP134"/>
        <s v="SP006"/>
        <s v="SP013"/>
        <s v="SP178"/>
        <s v="SP268"/>
        <s v="SP080"/>
        <s v="SP182"/>
        <s v="SP147"/>
        <s v="SP247"/>
        <s v="SP207"/>
        <s v="SP179"/>
        <s v="SP126"/>
        <s v="SP141"/>
        <s v="SP003"/>
        <s v="SP029"/>
        <s v="SP151"/>
        <s v="SP099"/>
        <s v="SP261"/>
        <s v="SP231"/>
        <s v="SP103"/>
        <s v="SP278"/>
        <s v="SP273"/>
        <s v="SP193"/>
        <s v="SP235"/>
        <s v="SP019"/>
        <s v="SP093"/>
        <s v="SP036"/>
        <s v="SP201"/>
        <s v="SP184"/>
        <s v="SP105"/>
        <s v="SP267"/>
        <s v="SP087"/>
        <s v="SP298"/>
        <s v="SP144"/>
        <s v="SP085"/>
        <s v="SP297"/>
        <s v="SP154"/>
        <s v="SP082"/>
        <s v="SP123"/>
        <s v="SP053"/>
        <s v="SP291"/>
        <s v="SP119"/>
        <s v="SP276"/>
        <s v="SP255"/>
        <s v="SP175"/>
        <s v="SP194"/>
        <s v="SP299"/>
        <s v="SP264"/>
        <s v="SP274"/>
        <s v="SP131"/>
        <s v="SP282"/>
        <s v="SP263"/>
        <s v="SP012"/>
        <s v="SP238"/>
        <s v="SP112"/>
        <s v="SP225"/>
        <s v="SP226"/>
        <s v="SP256"/>
        <s v="SP073"/>
        <s v="SP216"/>
        <s v="SP272"/>
        <s v="SP196"/>
        <s v="SP026"/>
        <s v="SP075"/>
        <s v="SP114"/>
        <s v="SP253"/>
        <s v="SP160"/>
        <s v="SP116"/>
        <s v="SP230"/>
        <s v="SP241"/>
        <s v="SP055"/>
        <s v="SP133"/>
        <s v="SP017"/>
        <s v="SP120"/>
        <s v="SP069"/>
        <s v="SP219"/>
        <s v="SP200"/>
        <s v="SP293"/>
        <s v="SP086"/>
        <s v="SP034"/>
        <s v="SP251"/>
        <s v="SP062"/>
        <s v="SP021"/>
        <s v="SP181"/>
        <s v="SP118"/>
        <s v="SP074"/>
        <s v="SP212"/>
        <s v="SP044"/>
        <s v="SP039"/>
        <s v="SP113"/>
        <s v="SP208"/>
        <s v="SP038"/>
        <s v="SP156"/>
        <s v="SP063"/>
        <s v="SP122"/>
        <s v="SP197"/>
        <s v="SP065"/>
        <s v="SP164"/>
        <s v="SP198"/>
        <s v="SP117"/>
        <s v="SP127"/>
        <s v="SP285"/>
        <s v="SP210"/>
        <s v="SP258"/>
        <s v="SP270"/>
        <s v="SP294"/>
        <s v="SP228"/>
        <s v="SP211"/>
        <s v="SP223"/>
        <s v="SP130"/>
        <s v="SP138"/>
        <s v="SP059"/>
      </sharedItems>
    </cacheField>
    <cacheField name="Platform" numFmtId="0">
      <sharedItems count="3">
        <s v="Twitter"/>
        <s v="Instagram"/>
        <s v="YouTube"/>
      </sharedItems>
    </cacheField>
    <cacheField name="Date" numFmtId="165">
      <sharedItems containsSemiMixedTypes="0" containsNonDate="0" containsDate="1" containsString="0" minDate="2024-01-01T00:00:00" maxDate="2025-07-02T00:00:00"/>
    </cacheField>
    <cacheField name="Content Type" numFmtId="0">
      <sharedItems/>
    </cacheField>
    <cacheField name="Post Text" numFmtId="0">
      <sharedItems/>
    </cacheField>
    <cacheField name="Likes" numFmtId="0">
      <sharedItems containsSemiMixedTypes="0" containsString="0" containsNumber="1" containsInteger="1" minValue="1010" maxValue="4995"/>
    </cacheField>
    <cacheField name="Shares" numFmtId="0">
      <sharedItems containsSemiMixedTypes="0" containsString="0" containsNumber="1" containsInteger="1" minValue="100" maxValue="499"/>
    </cacheField>
    <cacheField name="Comments" numFmtId="0">
      <sharedItems containsSemiMixedTypes="0" containsString="0" containsNumber="1" containsInteger="1" minValue="51" maxValue="400"/>
    </cacheField>
    <cacheField name="Impressions" numFmtId="0">
      <sharedItems containsSemiMixedTypes="0" containsString="0" containsNumber="1" containsInteger="1" minValue="20368" maxValue="59888"/>
    </cacheField>
    <cacheField name="Reach" numFmtId="0">
      <sharedItems containsSemiMixedTypes="0" containsString="0" containsNumber="1" containsInteger="1" minValue="18091" maxValue="74761"/>
    </cacheField>
    <cacheField name="Clicks" numFmtId="0">
      <sharedItems containsSemiMixedTypes="0" containsString="0" containsNumber="1" containsInteger="1" minValue="80" maxValue="299"/>
    </cacheField>
    <cacheField name="Hashtags Used" numFmtId="0">
      <sharedItems count="5">
        <s v="#SoundtrackOfLife"/>
        <s v="#MusicForEveryone"/>
        <s v="#NowPlaying"/>
        <s v="#DiscoverWeekly"/>
        <s v="#SpotifyWrapped" u="1"/>
      </sharedItems>
    </cacheField>
    <cacheField name="Campaign_Name" numFmtId="0">
      <sharedItems count="4">
        <s v="ChillVibes"/>
        <s v="IndieWave"/>
        <s v="SummerBeats"/>
        <s v="Wrapped2024"/>
      </sharedItems>
    </cacheField>
    <cacheField name="Engagement Rate" numFmtId="10">
      <sharedItems containsSemiMixedTypes="0" containsString="0" containsNumber="1" minValue="2.50275284149232E-2" maxValue="0.26064752360763155"/>
    </cacheField>
    <cacheField name="Campaign Status " numFmtId="0">
      <sharedItems count="2">
        <s v="Before"/>
        <s v="During"/>
      </sharedItems>
    </cacheField>
    <cacheField name="Engagement Rate2" numFmtId="0" formula=" (Likes+Shares+Comments)/Impressions" databaseField="0"/>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8.90744224537" createdVersion="8" refreshedVersion="8" minRefreshableVersion="3" recordCount="4" xr:uid="{5EDB7F1C-E4FA-4799-9C2E-E044C734A79C}">
  <cacheSource type="worksheet">
    <worksheetSource ref="A1:G5" sheet="Campaign Metadata"/>
  </cacheSource>
  <cacheFields count="7">
    <cacheField name="Campaign_Name" numFmtId="0">
      <sharedItems count="4">
        <s v="SummerBeats"/>
        <s v="Wrapped2024"/>
        <s v="ChillVibes"/>
        <s v="IndieWave"/>
      </sharedItems>
    </cacheField>
    <cacheField name="Start_Date" numFmtId="0">
      <sharedItems/>
    </cacheField>
    <cacheField name="End_Date" numFmtId="0">
      <sharedItems/>
    </cacheField>
    <cacheField name="Objective" numFmtId="0">
      <sharedItems/>
    </cacheField>
    <cacheField name="Total_Budget" numFmtId="0">
      <sharedItems containsSemiMixedTypes="0" containsString="0" containsNumber="1" containsInteger="1" minValue="160000" maxValue="225000"/>
    </cacheField>
    <cacheField name="Target_Platforms" numFmtId="0">
      <sharedItems/>
    </cacheField>
    <cacheField name="Primary_Hashtag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SP001"/>
    <x v="0"/>
    <x v="0"/>
    <x v="0"/>
    <s v="Discover fresh beats on Spotify!"/>
    <x v="0"/>
    <n v="245"/>
    <n v="137"/>
    <n v="21181"/>
    <n v="45292"/>
    <n v="133"/>
    <x v="0"/>
    <x v="0"/>
  </r>
  <r>
    <s v="SP002"/>
    <x v="0"/>
    <x v="1"/>
    <x v="0"/>
    <s v="Explore the latest podcasts now."/>
    <x v="1"/>
    <n v="210"/>
    <n v="393"/>
    <n v="29129"/>
    <n v="73287"/>
    <n v="273"/>
    <x v="1"/>
    <x v="1"/>
  </r>
  <r>
    <s v="SP003"/>
    <x v="1"/>
    <x v="2"/>
    <x v="1"/>
    <s v="New music just dropped. Hit play!"/>
    <x v="2"/>
    <n v="177"/>
    <n v="81"/>
    <n v="47533"/>
    <n v="29220"/>
    <n v="121"/>
    <x v="2"/>
    <x v="0"/>
  </r>
  <r>
    <s v="SP004"/>
    <x v="0"/>
    <x v="2"/>
    <x v="0"/>
    <s v="Wrapped is here! Relive your top tracks ðŸŽ§"/>
    <x v="3"/>
    <n v="229"/>
    <n v="197"/>
    <n v="29604"/>
    <n v="21809"/>
    <n v="272"/>
    <x v="0"/>
    <x v="0"/>
  </r>
  <r>
    <s v="SP005"/>
    <x v="2"/>
    <x v="3"/>
    <x v="0"/>
    <s v="Music that moves youâ€”only on Spotify."/>
    <x v="4"/>
    <n v="145"/>
    <n v="315"/>
    <n v="24401"/>
    <n v="61182"/>
    <n v="200"/>
    <x v="3"/>
    <x v="1"/>
  </r>
  <r>
    <s v="SP006"/>
    <x v="2"/>
    <x v="4"/>
    <x v="0"/>
    <s v="Whatâ€™s your vibe today? #SpotifyHits"/>
    <x v="5"/>
    <n v="239"/>
    <n v="275"/>
    <n v="58748"/>
    <n v="44646"/>
    <n v="149"/>
    <x v="3"/>
    <x v="1"/>
  </r>
  <r>
    <s v="SP007"/>
    <x v="1"/>
    <x v="5"/>
    <x v="1"/>
    <s v="Get into the groove with our new drop!"/>
    <x v="6"/>
    <n v="409"/>
    <n v="327"/>
    <n v="20756"/>
    <n v="63599"/>
    <n v="212"/>
    <x v="0"/>
    <x v="0"/>
  </r>
  <r>
    <s v="SP008"/>
    <x v="1"/>
    <x v="6"/>
    <x v="1"/>
    <s v="Wrapped is here! Relive your top tracks ðŸŽ§"/>
    <x v="7"/>
    <n v="347"/>
    <n v="67"/>
    <n v="21148"/>
    <n v="19712"/>
    <n v="120"/>
    <x v="4"/>
    <x v="0"/>
  </r>
  <r>
    <s v="SP009"/>
    <x v="1"/>
    <x v="7"/>
    <x v="0"/>
    <s v="Top trending tracks updated daily!"/>
    <x v="8"/>
    <n v="223"/>
    <n v="299"/>
    <n v="59016"/>
    <n v="21742"/>
    <n v="171"/>
    <x v="5"/>
    <x v="0"/>
  </r>
  <r>
    <s v="SP010"/>
    <x v="1"/>
    <x v="8"/>
    <x v="0"/>
    <s v="Wrapped is here! Relive your top tracks ðŸŽ§"/>
    <x v="9"/>
    <n v="274"/>
    <n v="172"/>
    <n v="21566"/>
    <n v="66829"/>
    <n v="284"/>
    <x v="5"/>
    <x v="0"/>
  </r>
  <r>
    <s v="SP011"/>
    <x v="1"/>
    <x v="9"/>
    <x v="0"/>
    <s v="Discover fresh beats on Spotify!"/>
    <x v="10"/>
    <n v="370"/>
    <n v="306"/>
    <n v="31316"/>
    <n v="27897"/>
    <n v="88"/>
    <x v="6"/>
    <x v="1"/>
  </r>
  <r>
    <s v="SP012"/>
    <x v="0"/>
    <x v="10"/>
    <x v="0"/>
    <s v="Discover fresh beats on Spotify!"/>
    <x v="11"/>
    <n v="353"/>
    <n v="244"/>
    <n v="38419"/>
    <n v="38556"/>
    <n v="86"/>
    <x v="0"/>
    <x v="0"/>
  </r>
  <r>
    <s v="SP013"/>
    <x v="1"/>
    <x v="11"/>
    <x v="1"/>
    <s v="Discover fresh beats on Spotify!"/>
    <x v="12"/>
    <n v="319"/>
    <n v="61"/>
    <n v="58162"/>
    <n v="28720"/>
    <n v="213"/>
    <x v="2"/>
    <x v="0"/>
  </r>
  <r>
    <s v="SP014"/>
    <x v="1"/>
    <x v="12"/>
    <x v="0"/>
    <s v="From pop to podcasts, itâ€™s all here."/>
    <x v="13"/>
    <n v="409"/>
    <n v="253"/>
    <n v="36702"/>
    <n v="46122"/>
    <n v="264"/>
    <x v="5"/>
    <x v="0"/>
  </r>
  <r>
    <s v="SP015"/>
    <x v="1"/>
    <x v="13"/>
    <x v="0"/>
    <s v="Your weekend playlist is waiting."/>
    <x v="14"/>
    <n v="355"/>
    <n v="396"/>
    <n v="37492"/>
    <n v="27285"/>
    <n v="179"/>
    <x v="5"/>
    <x v="0"/>
  </r>
  <r>
    <s v="SP016"/>
    <x v="1"/>
    <x v="14"/>
    <x v="1"/>
    <s v="New music just dropped. Hit play!"/>
    <x v="15"/>
    <n v="377"/>
    <n v="94"/>
    <n v="48182"/>
    <n v="42875"/>
    <n v="172"/>
    <x v="2"/>
    <x v="0"/>
  </r>
  <r>
    <s v="SP017"/>
    <x v="1"/>
    <x v="15"/>
    <x v="0"/>
    <s v="Whatâ€™s your vibe today? #SpotifyHits"/>
    <x v="16"/>
    <n v="164"/>
    <n v="275"/>
    <n v="41364"/>
    <n v="44389"/>
    <n v="83"/>
    <x v="5"/>
    <x v="0"/>
  </r>
  <r>
    <s v="SP018"/>
    <x v="0"/>
    <x v="16"/>
    <x v="1"/>
    <s v="Music that moves youâ€”only on Spotify."/>
    <x v="17"/>
    <n v="101"/>
    <n v="163"/>
    <n v="32278"/>
    <n v="53382"/>
    <n v="235"/>
    <x v="5"/>
    <x v="2"/>
  </r>
  <r>
    <s v="SP019"/>
    <x v="2"/>
    <x v="17"/>
    <x v="2"/>
    <s v="Get into the groove with our new drop!"/>
    <x v="18"/>
    <n v="143"/>
    <n v="151"/>
    <n v="31826"/>
    <n v="47729"/>
    <n v="95"/>
    <x v="7"/>
    <x v="3"/>
  </r>
  <r>
    <s v="SP020"/>
    <x v="0"/>
    <x v="18"/>
    <x v="0"/>
    <s v="Your weekend playlist is waiting."/>
    <x v="19"/>
    <n v="411"/>
    <n v="308"/>
    <n v="29138"/>
    <n v="27678"/>
    <n v="90"/>
    <x v="1"/>
    <x v="1"/>
  </r>
  <r>
    <s v="SP021"/>
    <x v="0"/>
    <x v="19"/>
    <x v="1"/>
    <s v="Wrapped is here! Relive your top tracks ðŸŽ§"/>
    <x v="20"/>
    <n v="423"/>
    <n v="323"/>
    <n v="55668"/>
    <n v="37945"/>
    <n v="230"/>
    <x v="5"/>
    <x v="2"/>
  </r>
  <r>
    <s v="SP022"/>
    <x v="0"/>
    <x v="7"/>
    <x v="0"/>
    <s v="Whatâ€™s your vibe today? #SpotifyHits"/>
    <x v="21"/>
    <n v="466"/>
    <n v="233"/>
    <n v="28621"/>
    <n v="34270"/>
    <n v="84"/>
    <x v="0"/>
    <x v="0"/>
  </r>
  <r>
    <s v="SP023"/>
    <x v="2"/>
    <x v="20"/>
    <x v="2"/>
    <s v="From pop to podcasts, itâ€™s all here."/>
    <x v="22"/>
    <n v="368"/>
    <n v="208"/>
    <n v="42000"/>
    <n v="39967"/>
    <n v="103"/>
    <x v="7"/>
    <x v="3"/>
  </r>
  <r>
    <s v="SP024"/>
    <x v="1"/>
    <x v="21"/>
    <x v="0"/>
    <s v="New music just dropped. Hit play!"/>
    <x v="23"/>
    <n v="379"/>
    <n v="180"/>
    <n v="28712"/>
    <n v="61620"/>
    <n v="174"/>
    <x v="6"/>
    <x v="1"/>
  </r>
  <r>
    <s v="SP025"/>
    <x v="2"/>
    <x v="22"/>
    <x v="2"/>
    <s v="From pop to podcasts, itâ€™s all here."/>
    <x v="24"/>
    <n v="320"/>
    <n v="92"/>
    <n v="54605"/>
    <n v="60169"/>
    <n v="232"/>
    <x v="7"/>
    <x v="3"/>
  </r>
  <r>
    <s v="SP026"/>
    <x v="1"/>
    <x v="23"/>
    <x v="1"/>
    <s v="From pop to podcasts, itâ€™s all here."/>
    <x v="25"/>
    <n v="103"/>
    <n v="51"/>
    <n v="55302"/>
    <n v="18801"/>
    <n v="147"/>
    <x v="4"/>
    <x v="0"/>
  </r>
  <r>
    <s v="SP027"/>
    <x v="0"/>
    <x v="24"/>
    <x v="0"/>
    <s v="Whatâ€™s your vibe today? #SpotifyHits"/>
    <x v="26"/>
    <n v="425"/>
    <n v="274"/>
    <n v="31004"/>
    <n v="53488"/>
    <n v="268"/>
    <x v="0"/>
    <x v="0"/>
  </r>
  <r>
    <s v="SP028"/>
    <x v="2"/>
    <x v="25"/>
    <x v="2"/>
    <s v="Explore the latest podcasts now."/>
    <x v="27"/>
    <n v="314"/>
    <n v="199"/>
    <n v="49612"/>
    <n v="53929"/>
    <n v="206"/>
    <x v="7"/>
    <x v="3"/>
  </r>
  <r>
    <s v="SP029"/>
    <x v="1"/>
    <x v="26"/>
    <x v="1"/>
    <s v="Explore the latest podcasts now."/>
    <x v="28"/>
    <n v="188"/>
    <n v="387"/>
    <n v="57431"/>
    <n v="36933"/>
    <n v="202"/>
    <x v="2"/>
    <x v="0"/>
  </r>
  <r>
    <s v="SP030"/>
    <x v="1"/>
    <x v="27"/>
    <x v="0"/>
    <s v="Discover fresh beats on Spotify!"/>
    <x v="29"/>
    <n v="194"/>
    <n v="168"/>
    <n v="26665"/>
    <n v="71699"/>
    <n v="197"/>
    <x v="5"/>
    <x v="0"/>
  </r>
  <r>
    <s v="SP031"/>
    <x v="0"/>
    <x v="28"/>
    <x v="0"/>
    <s v="New music just dropped. Hit play!"/>
    <x v="30"/>
    <n v="112"/>
    <n v="382"/>
    <n v="56284"/>
    <n v="29440"/>
    <n v="279"/>
    <x v="0"/>
    <x v="0"/>
  </r>
  <r>
    <s v="SP032"/>
    <x v="1"/>
    <x v="29"/>
    <x v="1"/>
    <s v="Explore the latest podcasts now."/>
    <x v="31"/>
    <n v="307"/>
    <n v="178"/>
    <n v="43365"/>
    <n v="48408"/>
    <n v="138"/>
    <x v="0"/>
    <x v="0"/>
  </r>
  <r>
    <s v="SP033"/>
    <x v="1"/>
    <x v="30"/>
    <x v="1"/>
    <s v="Discover fresh beats on Spotify!"/>
    <x v="32"/>
    <n v="182"/>
    <n v="95"/>
    <n v="32181"/>
    <n v="31084"/>
    <n v="289"/>
    <x v="4"/>
    <x v="0"/>
  </r>
  <r>
    <s v="SP034"/>
    <x v="0"/>
    <x v="31"/>
    <x v="0"/>
    <s v="New music just dropped. Hit play!"/>
    <x v="33"/>
    <n v="366"/>
    <n v="308"/>
    <n v="38127"/>
    <n v="63790"/>
    <n v="287"/>
    <x v="0"/>
    <x v="0"/>
  </r>
  <r>
    <s v="SP035"/>
    <x v="1"/>
    <x v="32"/>
    <x v="1"/>
    <s v="Your weekend playlist is waiting."/>
    <x v="34"/>
    <n v="332"/>
    <n v="268"/>
    <n v="40095"/>
    <n v="36913"/>
    <n v="265"/>
    <x v="2"/>
    <x v="0"/>
  </r>
  <r>
    <s v="SP036"/>
    <x v="0"/>
    <x v="33"/>
    <x v="0"/>
    <s v="Wrapped is here! Relive your top tracks ðŸŽ§"/>
    <x v="35"/>
    <n v="243"/>
    <n v="222"/>
    <n v="43066"/>
    <n v="59174"/>
    <n v="80"/>
    <x v="1"/>
    <x v="1"/>
  </r>
  <r>
    <s v="SP037"/>
    <x v="1"/>
    <x v="34"/>
    <x v="1"/>
    <s v="Explore the latest podcasts now."/>
    <x v="36"/>
    <n v="385"/>
    <n v="400"/>
    <n v="45300"/>
    <n v="31795"/>
    <n v="80"/>
    <x v="2"/>
    <x v="0"/>
  </r>
  <r>
    <s v="SP038"/>
    <x v="0"/>
    <x v="35"/>
    <x v="1"/>
    <s v="New music just dropped. Hit play!"/>
    <x v="37"/>
    <n v="309"/>
    <n v="207"/>
    <n v="44629"/>
    <n v="40699"/>
    <n v="195"/>
    <x v="5"/>
    <x v="2"/>
  </r>
  <r>
    <s v="SP039"/>
    <x v="0"/>
    <x v="36"/>
    <x v="0"/>
    <s v="From pop to podcasts, itâ€™s all here."/>
    <x v="38"/>
    <n v="472"/>
    <n v="238"/>
    <n v="51386"/>
    <n v="51706"/>
    <n v="133"/>
    <x v="1"/>
    <x v="1"/>
  </r>
  <r>
    <s v="SP040"/>
    <x v="1"/>
    <x v="37"/>
    <x v="0"/>
    <s v="Explore the latest podcasts now."/>
    <x v="39"/>
    <n v="192"/>
    <n v="162"/>
    <n v="27492"/>
    <n v="35341"/>
    <n v="125"/>
    <x v="5"/>
    <x v="0"/>
  </r>
  <r>
    <s v="SP041"/>
    <x v="0"/>
    <x v="38"/>
    <x v="0"/>
    <s v="New music just dropped. Hit play!"/>
    <x v="40"/>
    <n v="353"/>
    <n v="129"/>
    <n v="41265"/>
    <n v="37279"/>
    <n v="275"/>
    <x v="0"/>
    <x v="0"/>
  </r>
  <r>
    <s v="SP042"/>
    <x v="0"/>
    <x v="39"/>
    <x v="1"/>
    <s v="Whatâ€™s your vibe today? #SpotifyHits"/>
    <x v="41"/>
    <n v="363"/>
    <n v="393"/>
    <n v="44853"/>
    <n v="69032"/>
    <n v="211"/>
    <x v="5"/>
    <x v="2"/>
  </r>
  <r>
    <s v="SP043"/>
    <x v="0"/>
    <x v="40"/>
    <x v="0"/>
    <s v="Top trending tracks updated daily!"/>
    <x v="42"/>
    <n v="450"/>
    <n v="387"/>
    <n v="48746"/>
    <n v="37312"/>
    <n v="154"/>
    <x v="0"/>
    <x v="0"/>
  </r>
  <r>
    <s v="SP044"/>
    <x v="0"/>
    <x v="41"/>
    <x v="0"/>
    <s v="New music just dropped. Hit play!"/>
    <x v="43"/>
    <n v="281"/>
    <n v="326"/>
    <n v="51556"/>
    <n v="62599"/>
    <n v="290"/>
    <x v="1"/>
    <x v="1"/>
  </r>
  <r>
    <s v="SP045"/>
    <x v="2"/>
    <x v="42"/>
    <x v="0"/>
    <s v="Your weekend playlist is waiting."/>
    <x v="44"/>
    <n v="114"/>
    <n v="278"/>
    <n v="36148"/>
    <n v="24209"/>
    <n v="201"/>
    <x v="3"/>
    <x v="1"/>
  </r>
  <r>
    <s v="SP046"/>
    <x v="0"/>
    <x v="43"/>
    <x v="0"/>
    <s v="Explore the latest podcasts now."/>
    <x v="45"/>
    <n v="330"/>
    <n v="250"/>
    <n v="23993"/>
    <n v="74590"/>
    <n v="92"/>
    <x v="1"/>
    <x v="1"/>
  </r>
  <r>
    <s v="SP047"/>
    <x v="2"/>
    <x v="44"/>
    <x v="2"/>
    <s v="From pop to podcasts, itâ€™s all here."/>
    <x v="46"/>
    <n v="188"/>
    <n v="358"/>
    <n v="39838"/>
    <n v="24536"/>
    <n v="120"/>
    <x v="7"/>
    <x v="3"/>
  </r>
  <r>
    <s v="SP048"/>
    <x v="0"/>
    <x v="45"/>
    <x v="1"/>
    <s v="Music that moves youâ€”only on Spotify."/>
    <x v="47"/>
    <n v="371"/>
    <n v="348"/>
    <n v="24104"/>
    <n v="57803"/>
    <n v="213"/>
    <x v="5"/>
    <x v="2"/>
  </r>
  <r>
    <s v="SP049"/>
    <x v="1"/>
    <x v="46"/>
    <x v="1"/>
    <s v="Get into the groove with our new drop!"/>
    <x v="48"/>
    <n v="227"/>
    <n v="223"/>
    <n v="43443"/>
    <n v="41005"/>
    <n v="191"/>
    <x v="4"/>
    <x v="0"/>
  </r>
  <r>
    <s v="SP050"/>
    <x v="1"/>
    <x v="47"/>
    <x v="0"/>
    <s v="Discover fresh beats on Spotify!"/>
    <x v="49"/>
    <n v="421"/>
    <n v="216"/>
    <n v="24890"/>
    <n v="54361"/>
    <n v="148"/>
    <x v="5"/>
    <x v="0"/>
  </r>
  <r>
    <s v="SP051"/>
    <x v="2"/>
    <x v="48"/>
    <x v="2"/>
    <s v="Explore the latest podcasts now."/>
    <x v="50"/>
    <n v="481"/>
    <n v="61"/>
    <n v="45884"/>
    <n v="48955"/>
    <n v="215"/>
    <x v="7"/>
    <x v="3"/>
  </r>
  <r>
    <s v="SP052"/>
    <x v="1"/>
    <x v="49"/>
    <x v="1"/>
    <s v="New music just dropped. Hit play!"/>
    <x v="51"/>
    <n v="455"/>
    <n v="228"/>
    <n v="21645"/>
    <n v="61334"/>
    <n v="261"/>
    <x v="4"/>
    <x v="0"/>
  </r>
  <r>
    <s v="SP053"/>
    <x v="1"/>
    <x v="50"/>
    <x v="1"/>
    <s v="Whatâ€™s your vibe today? #SpotifyHits"/>
    <x v="52"/>
    <n v="213"/>
    <n v="331"/>
    <n v="57660"/>
    <n v="68606"/>
    <n v="87"/>
    <x v="2"/>
    <x v="0"/>
  </r>
  <r>
    <s v="SP054"/>
    <x v="0"/>
    <x v="51"/>
    <x v="0"/>
    <s v="Get into the groove with our new drop!"/>
    <x v="53"/>
    <n v="460"/>
    <n v="212"/>
    <n v="58075"/>
    <n v="59574"/>
    <n v="239"/>
    <x v="1"/>
    <x v="1"/>
  </r>
  <r>
    <s v="SP055"/>
    <x v="1"/>
    <x v="52"/>
    <x v="0"/>
    <s v="Explore the latest podcasts now."/>
    <x v="54"/>
    <n v="450"/>
    <n v="214"/>
    <n v="52115"/>
    <n v="19166"/>
    <n v="190"/>
    <x v="5"/>
    <x v="0"/>
  </r>
  <r>
    <s v="SP056"/>
    <x v="0"/>
    <x v="53"/>
    <x v="1"/>
    <s v="From pop to podcasts, itâ€™s all here."/>
    <x v="55"/>
    <n v="455"/>
    <n v="376"/>
    <n v="23428"/>
    <n v="46775"/>
    <n v="259"/>
    <x v="5"/>
    <x v="2"/>
  </r>
  <r>
    <s v="SP057"/>
    <x v="0"/>
    <x v="54"/>
    <x v="0"/>
    <s v="Top trending tracks updated daily!"/>
    <x v="56"/>
    <n v="405"/>
    <n v="223"/>
    <n v="31233"/>
    <n v="58106"/>
    <n v="291"/>
    <x v="1"/>
    <x v="1"/>
  </r>
  <r>
    <s v="SP058"/>
    <x v="2"/>
    <x v="55"/>
    <x v="0"/>
    <s v="Top trending tracks updated daily!"/>
    <x v="57"/>
    <n v="110"/>
    <n v="215"/>
    <n v="39192"/>
    <n v="24744"/>
    <n v="177"/>
    <x v="3"/>
    <x v="1"/>
  </r>
  <r>
    <s v="SP059"/>
    <x v="2"/>
    <x v="56"/>
    <x v="0"/>
    <s v="From pop to podcasts, itâ€™s all here."/>
    <x v="58"/>
    <n v="181"/>
    <n v="55"/>
    <n v="53581"/>
    <n v="74048"/>
    <n v="220"/>
    <x v="3"/>
    <x v="1"/>
  </r>
  <r>
    <s v="SP060"/>
    <x v="2"/>
    <x v="57"/>
    <x v="0"/>
    <s v="Discover fresh beats on Spotify!"/>
    <x v="6"/>
    <n v="326"/>
    <n v="62"/>
    <n v="45503"/>
    <n v="46814"/>
    <n v="116"/>
    <x v="3"/>
    <x v="1"/>
  </r>
  <r>
    <s v="SP061"/>
    <x v="2"/>
    <x v="58"/>
    <x v="2"/>
    <s v="Explore the latest podcasts now."/>
    <x v="59"/>
    <n v="129"/>
    <n v="359"/>
    <n v="44558"/>
    <n v="30854"/>
    <n v="171"/>
    <x v="7"/>
    <x v="3"/>
  </r>
  <r>
    <s v="SP062"/>
    <x v="1"/>
    <x v="59"/>
    <x v="1"/>
    <s v="Wrapped is here! Relive your top tracks ðŸŽ§"/>
    <x v="60"/>
    <n v="316"/>
    <n v="82"/>
    <n v="54036"/>
    <n v="69015"/>
    <n v="182"/>
    <x v="2"/>
    <x v="0"/>
  </r>
  <r>
    <s v="SP063"/>
    <x v="1"/>
    <x v="60"/>
    <x v="0"/>
    <s v="New music just dropped. Hit play!"/>
    <x v="61"/>
    <n v="137"/>
    <n v="184"/>
    <n v="37302"/>
    <n v="68953"/>
    <n v="237"/>
    <x v="6"/>
    <x v="1"/>
  </r>
  <r>
    <s v="SP064"/>
    <x v="1"/>
    <x v="61"/>
    <x v="1"/>
    <s v="New music just dropped. Hit play!"/>
    <x v="62"/>
    <n v="101"/>
    <n v="121"/>
    <n v="51035"/>
    <n v="58207"/>
    <n v="205"/>
    <x v="2"/>
    <x v="0"/>
  </r>
  <r>
    <s v="SP065"/>
    <x v="2"/>
    <x v="62"/>
    <x v="0"/>
    <s v="From pop to podcasts, itâ€™s all here."/>
    <x v="63"/>
    <n v="327"/>
    <n v="110"/>
    <n v="53805"/>
    <n v="30239"/>
    <n v="109"/>
    <x v="3"/>
    <x v="1"/>
  </r>
  <r>
    <s v="SP066"/>
    <x v="0"/>
    <x v="63"/>
    <x v="0"/>
    <s v="Wrapped is here! Relive your top tracks ðŸŽ§"/>
    <x v="64"/>
    <n v="331"/>
    <n v="140"/>
    <n v="58792"/>
    <n v="47711"/>
    <n v="227"/>
    <x v="0"/>
    <x v="0"/>
  </r>
  <r>
    <s v="SP067"/>
    <x v="2"/>
    <x v="64"/>
    <x v="2"/>
    <s v="Your weekend playlist is waiting."/>
    <x v="65"/>
    <n v="488"/>
    <n v="356"/>
    <n v="30619"/>
    <n v="23328"/>
    <n v="267"/>
    <x v="7"/>
    <x v="3"/>
  </r>
  <r>
    <s v="SP068"/>
    <x v="1"/>
    <x v="65"/>
    <x v="0"/>
    <s v="Music that moves youâ€”only on Spotify."/>
    <x v="66"/>
    <n v="421"/>
    <n v="114"/>
    <n v="20580"/>
    <n v="30324"/>
    <n v="221"/>
    <x v="6"/>
    <x v="1"/>
  </r>
  <r>
    <s v="SP069"/>
    <x v="1"/>
    <x v="66"/>
    <x v="1"/>
    <s v="Music that moves youâ€”only on Spotify."/>
    <x v="67"/>
    <n v="472"/>
    <n v="286"/>
    <n v="44692"/>
    <n v="53343"/>
    <n v="227"/>
    <x v="4"/>
    <x v="0"/>
  </r>
  <r>
    <s v="SP070"/>
    <x v="1"/>
    <x v="67"/>
    <x v="0"/>
    <s v="Wrapped is here! Relive your top tracks ðŸŽ§"/>
    <x v="68"/>
    <n v="473"/>
    <n v="254"/>
    <n v="51964"/>
    <n v="68795"/>
    <n v="107"/>
    <x v="5"/>
    <x v="0"/>
  </r>
  <r>
    <s v="SP071"/>
    <x v="1"/>
    <x v="68"/>
    <x v="0"/>
    <s v="Whatâ€™s your vibe today? #SpotifyHits"/>
    <x v="69"/>
    <n v="247"/>
    <n v="183"/>
    <n v="28914"/>
    <n v="18310"/>
    <n v="135"/>
    <x v="6"/>
    <x v="1"/>
  </r>
  <r>
    <s v="SP072"/>
    <x v="0"/>
    <x v="69"/>
    <x v="0"/>
    <s v="From pop to podcasts, itâ€™s all here."/>
    <x v="70"/>
    <n v="249"/>
    <n v="52"/>
    <n v="20368"/>
    <n v="42152"/>
    <n v="193"/>
    <x v="1"/>
    <x v="1"/>
  </r>
  <r>
    <s v="SP073"/>
    <x v="2"/>
    <x v="70"/>
    <x v="2"/>
    <s v="Discover fresh beats on Spotify!"/>
    <x v="71"/>
    <n v="496"/>
    <n v="320"/>
    <n v="36528"/>
    <n v="38599"/>
    <n v="270"/>
    <x v="7"/>
    <x v="3"/>
  </r>
  <r>
    <s v="SP074"/>
    <x v="1"/>
    <x v="71"/>
    <x v="1"/>
    <s v="Get into the groove with our new drop!"/>
    <x v="72"/>
    <n v="206"/>
    <n v="187"/>
    <n v="53342"/>
    <n v="25095"/>
    <n v="88"/>
    <x v="4"/>
    <x v="0"/>
  </r>
  <r>
    <s v="SP075"/>
    <x v="1"/>
    <x v="72"/>
    <x v="1"/>
    <s v="From pop to podcasts, itâ€™s all here."/>
    <x v="73"/>
    <n v="455"/>
    <n v="158"/>
    <n v="41947"/>
    <n v="48578"/>
    <n v="101"/>
    <x v="0"/>
    <x v="0"/>
  </r>
  <r>
    <s v="SP076"/>
    <x v="0"/>
    <x v="42"/>
    <x v="0"/>
    <s v="Wrapped is here! Relive your top tracks ðŸŽ§"/>
    <x v="74"/>
    <n v="401"/>
    <n v="78"/>
    <n v="38665"/>
    <n v="73593"/>
    <n v="207"/>
    <x v="1"/>
    <x v="1"/>
  </r>
  <r>
    <s v="SP077"/>
    <x v="1"/>
    <x v="73"/>
    <x v="0"/>
    <s v="From pop to podcasts, itâ€™s all here."/>
    <x v="75"/>
    <n v="161"/>
    <n v="360"/>
    <n v="30589"/>
    <n v="41383"/>
    <n v="88"/>
    <x v="5"/>
    <x v="0"/>
  </r>
  <r>
    <s v="SP078"/>
    <x v="1"/>
    <x v="74"/>
    <x v="1"/>
    <s v="Discover fresh beats on Spotify!"/>
    <x v="76"/>
    <n v="494"/>
    <n v="55"/>
    <n v="22580"/>
    <n v="22214"/>
    <n v="109"/>
    <x v="2"/>
    <x v="0"/>
  </r>
  <r>
    <s v="SP079"/>
    <x v="2"/>
    <x v="75"/>
    <x v="2"/>
    <s v="New music just dropped. Hit play!"/>
    <x v="77"/>
    <n v="191"/>
    <n v="122"/>
    <n v="35535"/>
    <n v="50777"/>
    <n v="128"/>
    <x v="7"/>
    <x v="3"/>
  </r>
  <r>
    <s v="SP080"/>
    <x v="0"/>
    <x v="76"/>
    <x v="0"/>
    <s v="Music that moves youâ€”only on Spotify."/>
    <x v="78"/>
    <n v="187"/>
    <n v="260"/>
    <n v="37400"/>
    <n v="65014"/>
    <n v="157"/>
    <x v="0"/>
    <x v="0"/>
  </r>
  <r>
    <s v="SP081"/>
    <x v="1"/>
    <x v="77"/>
    <x v="0"/>
    <s v="Get into the groove with our new drop!"/>
    <x v="79"/>
    <n v="486"/>
    <n v="276"/>
    <n v="56623"/>
    <n v="41343"/>
    <n v="184"/>
    <x v="6"/>
    <x v="1"/>
  </r>
  <r>
    <s v="SP082"/>
    <x v="0"/>
    <x v="78"/>
    <x v="0"/>
    <s v="Your weekend playlist is waiting."/>
    <x v="80"/>
    <n v="181"/>
    <n v="306"/>
    <n v="43650"/>
    <n v="50079"/>
    <n v="182"/>
    <x v="1"/>
    <x v="1"/>
  </r>
  <r>
    <s v="SP083"/>
    <x v="1"/>
    <x v="79"/>
    <x v="1"/>
    <s v="Get into the groove with our new drop!"/>
    <x v="81"/>
    <n v="158"/>
    <n v="84"/>
    <n v="34578"/>
    <n v="51480"/>
    <n v="180"/>
    <x v="0"/>
    <x v="0"/>
  </r>
  <r>
    <s v="SP084"/>
    <x v="1"/>
    <x v="80"/>
    <x v="0"/>
    <s v="Your weekend playlist is waiting."/>
    <x v="82"/>
    <n v="390"/>
    <n v="213"/>
    <n v="29785"/>
    <n v="57768"/>
    <n v="122"/>
    <x v="5"/>
    <x v="0"/>
  </r>
  <r>
    <s v="SP085"/>
    <x v="0"/>
    <x v="81"/>
    <x v="0"/>
    <s v="Explore the latest podcasts now."/>
    <x v="83"/>
    <n v="328"/>
    <n v="171"/>
    <n v="57685"/>
    <n v="67536"/>
    <n v="264"/>
    <x v="0"/>
    <x v="0"/>
  </r>
  <r>
    <s v="SP086"/>
    <x v="1"/>
    <x v="23"/>
    <x v="1"/>
    <s v="Wrapped is here! Relive your top tracks ðŸŽ§"/>
    <x v="84"/>
    <n v="139"/>
    <n v="96"/>
    <n v="36140"/>
    <n v="39395"/>
    <n v="169"/>
    <x v="0"/>
    <x v="0"/>
  </r>
  <r>
    <s v="SP087"/>
    <x v="1"/>
    <x v="82"/>
    <x v="1"/>
    <s v="Discover fresh beats on Spotify!"/>
    <x v="56"/>
    <n v="496"/>
    <n v="89"/>
    <n v="53435"/>
    <n v="30334"/>
    <n v="160"/>
    <x v="0"/>
    <x v="0"/>
  </r>
  <r>
    <s v="SP088"/>
    <x v="1"/>
    <x v="83"/>
    <x v="1"/>
    <s v="Whatâ€™s your vibe today? #SpotifyHits"/>
    <x v="85"/>
    <n v="427"/>
    <n v="339"/>
    <n v="30752"/>
    <n v="33870"/>
    <n v="298"/>
    <x v="0"/>
    <x v="0"/>
  </r>
  <r>
    <s v="SP089"/>
    <x v="0"/>
    <x v="8"/>
    <x v="0"/>
    <s v="Wrapped is here! Relive your top tracks ðŸŽ§"/>
    <x v="86"/>
    <n v="336"/>
    <n v="260"/>
    <n v="32368"/>
    <n v="49028"/>
    <n v="120"/>
    <x v="0"/>
    <x v="0"/>
  </r>
  <r>
    <s v="SP090"/>
    <x v="1"/>
    <x v="84"/>
    <x v="1"/>
    <s v="Wrapped is here! Relive your top tracks ðŸŽ§"/>
    <x v="87"/>
    <n v="229"/>
    <n v="337"/>
    <n v="22117"/>
    <n v="26205"/>
    <n v="160"/>
    <x v="2"/>
    <x v="0"/>
  </r>
  <r>
    <s v="SP091"/>
    <x v="1"/>
    <x v="85"/>
    <x v="0"/>
    <s v="Explore the latest podcasts now."/>
    <x v="88"/>
    <n v="294"/>
    <n v="163"/>
    <n v="20659"/>
    <n v="45926"/>
    <n v="111"/>
    <x v="6"/>
    <x v="1"/>
  </r>
  <r>
    <s v="SP092"/>
    <x v="2"/>
    <x v="86"/>
    <x v="2"/>
    <s v="Explore the latest podcasts now."/>
    <x v="89"/>
    <n v="155"/>
    <n v="315"/>
    <n v="30321"/>
    <n v="57121"/>
    <n v="82"/>
    <x v="7"/>
    <x v="3"/>
  </r>
  <r>
    <s v="SP093"/>
    <x v="0"/>
    <x v="87"/>
    <x v="0"/>
    <s v="From pop to podcasts, itâ€™s all here."/>
    <x v="90"/>
    <n v="229"/>
    <n v="312"/>
    <n v="25641"/>
    <n v="34601"/>
    <n v="169"/>
    <x v="1"/>
    <x v="1"/>
  </r>
  <r>
    <s v="SP094"/>
    <x v="1"/>
    <x v="88"/>
    <x v="1"/>
    <s v="Top trending tracks updated daily!"/>
    <x v="91"/>
    <n v="257"/>
    <n v="397"/>
    <n v="36686"/>
    <n v="54683"/>
    <n v="98"/>
    <x v="0"/>
    <x v="0"/>
  </r>
  <r>
    <s v="SP095"/>
    <x v="0"/>
    <x v="89"/>
    <x v="1"/>
    <s v="Discover fresh beats on Spotify!"/>
    <x v="92"/>
    <n v="484"/>
    <n v="193"/>
    <n v="21202"/>
    <n v="18091"/>
    <n v="241"/>
    <x v="5"/>
    <x v="2"/>
  </r>
  <r>
    <s v="SP096"/>
    <x v="1"/>
    <x v="90"/>
    <x v="1"/>
    <s v="Wrapped is here! Relive your top tracks ðŸŽ§"/>
    <x v="93"/>
    <n v="292"/>
    <n v="90"/>
    <n v="24223"/>
    <n v="54626"/>
    <n v="114"/>
    <x v="0"/>
    <x v="0"/>
  </r>
  <r>
    <s v="SP097"/>
    <x v="0"/>
    <x v="91"/>
    <x v="0"/>
    <s v="Whatâ€™s your vibe today? #SpotifyHits"/>
    <x v="94"/>
    <n v="431"/>
    <n v="97"/>
    <n v="41763"/>
    <n v="29729"/>
    <n v="191"/>
    <x v="1"/>
    <x v="1"/>
  </r>
  <r>
    <s v="SP098"/>
    <x v="1"/>
    <x v="92"/>
    <x v="1"/>
    <s v="Get into the groove with our new drop!"/>
    <x v="95"/>
    <n v="433"/>
    <n v="237"/>
    <n v="59552"/>
    <n v="23885"/>
    <n v="157"/>
    <x v="4"/>
    <x v="0"/>
  </r>
  <r>
    <s v="SP099"/>
    <x v="1"/>
    <x v="93"/>
    <x v="0"/>
    <s v="Wrapped is here! Relive your top tracks ðŸŽ§"/>
    <x v="96"/>
    <n v="481"/>
    <n v="356"/>
    <n v="40681"/>
    <n v="63111"/>
    <n v="258"/>
    <x v="5"/>
    <x v="0"/>
  </r>
  <r>
    <s v="SP100"/>
    <x v="0"/>
    <x v="94"/>
    <x v="0"/>
    <s v="Discover fresh beats on Spotify!"/>
    <x v="97"/>
    <n v="415"/>
    <n v="218"/>
    <n v="36090"/>
    <n v="37073"/>
    <n v="181"/>
    <x v="1"/>
    <x v="1"/>
  </r>
  <r>
    <s v="SP101"/>
    <x v="1"/>
    <x v="95"/>
    <x v="0"/>
    <s v="Get into the groove with our new drop!"/>
    <x v="98"/>
    <n v="386"/>
    <n v="175"/>
    <n v="45012"/>
    <n v="38508"/>
    <n v="218"/>
    <x v="5"/>
    <x v="0"/>
  </r>
  <r>
    <s v="SP102"/>
    <x v="1"/>
    <x v="96"/>
    <x v="0"/>
    <s v="Discover fresh beats on Spotify!"/>
    <x v="99"/>
    <n v="293"/>
    <n v="115"/>
    <n v="23776"/>
    <n v="46386"/>
    <n v="282"/>
    <x v="5"/>
    <x v="0"/>
  </r>
  <r>
    <s v="SP103"/>
    <x v="0"/>
    <x v="97"/>
    <x v="0"/>
    <s v="Music that moves youâ€”only on Spotify."/>
    <x v="100"/>
    <n v="112"/>
    <n v="181"/>
    <n v="31870"/>
    <n v="55742"/>
    <n v="263"/>
    <x v="0"/>
    <x v="0"/>
  </r>
  <r>
    <s v="SP104"/>
    <x v="1"/>
    <x v="98"/>
    <x v="1"/>
    <s v="Whatâ€™s your vibe today? #SpotifyHits"/>
    <x v="101"/>
    <n v="447"/>
    <n v="183"/>
    <n v="36266"/>
    <n v="32877"/>
    <n v="132"/>
    <x v="4"/>
    <x v="0"/>
  </r>
  <r>
    <s v="SP105"/>
    <x v="1"/>
    <x v="99"/>
    <x v="0"/>
    <s v="Discover fresh beats on Spotify!"/>
    <x v="102"/>
    <n v="265"/>
    <n v="91"/>
    <n v="52090"/>
    <n v="28924"/>
    <n v="133"/>
    <x v="5"/>
    <x v="0"/>
  </r>
  <r>
    <s v="SP106"/>
    <x v="1"/>
    <x v="100"/>
    <x v="1"/>
    <s v="New music just dropped. Hit play!"/>
    <x v="103"/>
    <n v="272"/>
    <n v="57"/>
    <n v="21334"/>
    <n v="46292"/>
    <n v="91"/>
    <x v="0"/>
    <x v="0"/>
  </r>
  <r>
    <s v="SP107"/>
    <x v="1"/>
    <x v="101"/>
    <x v="0"/>
    <s v="Music that moves youâ€”only on Spotify."/>
    <x v="104"/>
    <n v="209"/>
    <n v="278"/>
    <n v="52853"/>
    <n v="57084"/>
    <n v="102"/>
    <x v="6"/>
    <x v="1"/>
  </r>
  <r>
    <s v="SP108"/>
    <x v="2"/>
    <x v="102"/>
    <x v="2"/>
    <s v="Music that moves youâ€”only on Spotify."/>
    <x v="5"/>
    <n v="342"/>
    <n v="374"/>
    <n v="41991"/>
    <n v="48554"/>
    <n v="118"/>
    <x v="7"/>
    <x v="3"/>
  </r>
  <r>
    <s v="SP109"/>
    <x v="0"/>
    <x v="103"/>
    <x v="0"/>
    <s v="Music that moves youâ€”only on Spotify."/>
    <x v="105"/>
    <n v="181"/>
    <n v="112"/>
    <n v="35221"/>
    <n v="28797"/>
    <n v="164"/>
    <x v="0"/>
    <x v="0"/>
  </r>
  <r>
    <s v="SP110"/>
    <x v="0"/>
    <x v="104"/>
    <x v="0"/>
    <s v="New music just dropped. Hit play!"/>
    <x v="106"/>
    <n v="483"/>
    <n v="336"/>
    <n v="25397"/>
    <n v="51485"/>
    <n v="131"/>
    <x v="1"/>
    <x v="1"/>
  </r>
  <r>
    <s v="SP111"/>
    <x v="2"/>
    <x v="105"/>
    <x v="2"/>
    <s v="Music that moves youâ€”only on Spotify."/>
    <x v="107"/>
    <n v="299"/>
    <n v="345"/>
    <n v="33644"/>
    <n v="43547"/>
    <n v="194"/>
    <x v="7"/>
    <x v="3"/>
  </r>
  <r>
    <s v="SP112"/>
    <x v="0"/>
    <x v="106"/>
    <x v="0"/>
    <s v="Your weekend playlist is waiting."/>
    <x v="108"/>
    <n v="286"/>
    <n v="298"/>
    <n v="36174"/>
    <n v="34517"/>
    <n v="170"/>
    <x v="0"/>
    <x v="0"/>
  </r>
  <r>
    <s v="SP113"/>
    <x v="0"/>
    <x v="107"/>
    <x v="0"/>
    <s v="New music just dropped. Hit play!"/>
    <x v="109"/>
    <n v="360"/>
    <n v="180"/>
    <n v="54342"/>
    <n v="18796"/>
    <n v="282"/>
    <x v="0"/>
    <x v="0"/>
  </r>
  <r>
    <s v="SP114"/>
    <x v="1"/>
    <x v="108"/>
    <x v="0"/>
    <s v="Top trending tracks updated daily!"/>
    <x v="110"/>
    <n v="273"/>
    <n v="287"/>
    <n v="46176"/>
    <n v="25488"/>
    <n v="141"/>
    <x v="5"/>
    <x v="0"/>
  </r>
  <r>
    <s v="SP115"/>
    <x v="0"/>
    <x v="109"/>
    <x v="0"/>
    <s v="Explore the latest podcasts now."/>
    <x v="111"/>
    <n v="489"/>
    <n v="331"/>
    <n v="57451"/>
    <n v="73793"/>
    <n v="251"/>
    <x v="1"/>
    <x v="1"/>
  </r>
  <r>
    <s v="SP116"/>
    <x v="0"/>
    <x v="0"/>
    <x v="1"/>
    <s v="New music just dropped. Hit play!"/>
    <x v="112"/>
    <n v="181"/>
    <n v="361"/>
    <n v="37148"/>
    <n v="44875"/>
    <n v="245"/>
    <x v="5"/>
    <x v="2"/>
  </r>
  <r>
    <s v="SP117"/>
    <x v="0"/>
    <x v="110"/>
    <x v="1"/>
    <s v="From pop to podcasts, itâ€™s all here."/>
    <x v="113"/>
    <n v="215"/>
    <n v="332"/>
    <n v="58981"/>
    <n v="36118"/>
    <n v="211"/>
    <x v="5"/>
    <x v="2"/>
  </r>
  <r>
    <s v="SP118"/>
    <x v="1"/>
    <x v="111"/>
    <x v="1"/>
    <s v="Music that moves youâ€”only on Spotify."/>
    <x v="114"/>
    <n v="124"/>
    <n v="99"/>
    <n v="54524"/>
    <n v="34790"/>
    <n v="195"/>
    <x v="4"/>
    <x v="0"/>
  </r>
  <r>
    <s v="SP119"/>
    <x v="1"/>
    <x v="112"/>
    <x v="1"/>
    <s v="Music that moves youâ€”only on Spotify."/>
    <x v="115"/>
    <n v="322"/>
    <n v="114"/>
    <n v="44338"/>
    <n v="52165"/>
    <n v="176"/>
    <x v="2"/>
    <x v="0"/>
  </r>
  <r>
    <s v="SP120"/>
    <x v="0"/>
    <x v="113"/>
    <x v="0"/>
    <s v="Top trending tracks updated daily!"/>
    <x v="116"/>
    <n v="126"/>
    <n v="140"/>
    <n v="53759"/>
    <n v="46834"/>
    <n v="277"/>
    <x v="1"/>
    <x v="1"/>
  </r>
  <r>
    <s v="SP121"/>
    <x v="0"/>
    <x v="114"/>
    <x v="1"/>
    <s v="New music just dropped. Hit play!"/>
    <x v="117"/>
    <n v="459"/>
    <n v="229"/>
    <n v="48989"/>
    <n v="39768"/>
    <n v="200"/>
    <x v="5"/>
    <x v="2"/>
  </r>
  <r>
    <s v="SP122"/>
    <x v="1"/>
    <x v="115"/>
    <x v="1"/>
    <s v="Music that moves youâ€”only on Spotify."/>
    <x v="118"/>
    <n v="463"/>
    <n v="360"/>
    <n v="51468"/>
    <n v="24279"/>
    <n v="230"/>
    <x v="4"/>
    <x v="0"/>
  </r>
  <r>
    <s v="SP123"/>
    <x v="2"/>
    <x v="116"/>
    <x v="0"/>
    <s v="From pop to podcasts, itâ€™s all here."/>
    <x v="119"/>
    <n v="467"/>
    <n v="94"/>
    <n v="59083"/>
    <n v="49762"/>
    <n v="236"/>
    <x v="3"/>
    <x v="1"/>
  </r>
  <r>
    <s v="SP124"/>
    <x v="1"/>
    <x v="6"/>
    <x v="1"/>
    <s v="New music just dropped. Hit play!"/>
    <x v="120"/>
    <n v="423"/>
    <n v="259"/>
    <n v="46328"/>
    <n v="44293"/>
    <n v="299"/>
    <x v="0"/>
    <x v="0"/>
  </r>
  <r>
    <s v="SP125"/>
    <x v="1"/>
    <x v="117"/>
    <x v="0"/>
    <s v="From pop to podcasts, itâ€™s all here."/>
    <x v="121"/>
    <n v="381"/>
    <n v="345"/>
    <n v="33347"/>
    <n v="22558"/>
    <n v="173"/>
    <x v="5"/>
    <x v="0"/>
  </r>
  <r>
    <s v="SP126"/>
    <x v="1"/>
    <x v="118"/>
    <x v="1"/>
    <s v="Whatâ€™s your vibe today? #SpotifyHits"/>
    <x v="122"/>
    <n v="476"/>
    <n v="277"/>
    <n v="56072"/>
    <n v="21061"/>
    <n v="113"/>
    <x v="2"/>
    <x v="0"/>
  </r>
  <r>
    <s v="SP127"/>
    <x v="1"/>
    <x v="119"/>
    <x v="0"/>
    <s v="Music that moves youâ€”only on Spotify."/>
    <x v="123"/>
    <n v="265"/>
    <n v="137"/>
    <n v="53485"/>
    <n v="59729"/>
    <n v="145"/>
    <x v="6"/>
    <x v="1"/>
  </r>
  <r>
    <s v="SP128"/>
    <x v="0"/>
    <x v="120"/>
    <x v="0"/>
    <s v="New music just dropped. Hit play!"/>
    <x v="124"/>
    <n v="394"/>
    <n v="279"/>
    <n v="24615"/>
    <n v="51330"/>
    <n v="176"/>
    <x v="0"/>
    <x v="0"/>
  </r>
  <r>
    <s v="SP129"/>
    <x v="1"/>
    <x v="121"/>
    <x v="1"/>
    <s v="Explore the latest podcasts now."/>
    <x v="125"/>
    <n v="424"/>
    <n v="267"/>
    <n v="48879"/>
    <n v="37691"/>
    <n v="224"/>
    <x v="4"/>
    <x v="0"/>
  </r>
  <r>
    <s v="SP130"/>
    <x v="2"/>
    <x v="122"/>
    <x v="0"/>
    <s v="Explore the latest podcasts now."/>
    <x v="126"/>
    <n v="190"/>
    <n v="233"/>
    <n v="59888"/>
    <n v="51449"/>
    <n v="205"/>
    <x v="3"/>
    <x v="1"/>
  </r>
  <r>
    <s v="SP131"/>
    <x v="1"/>
    <x v="123"/>
    <x v="0"/>
    <s v="Your weekend playlist is waiting."/>
    <x v="127"/>
    <n v="362"/>
    <n v="371"/>
    <n v="42075"/>
    <n v="66659"/>
    <n v="205"/>
    <x v="6"/>
    <x v="1"/>
  </r>
  <r>
    <s v="SP132"/>
    <x v="1"/>
    <x v="124"/>
    <x v="0"/>
    <s v="Whatâ€™s your vibe today? #SpotifyHits"/>
    <x v="128"/>
    <n v="420"/>
    <n v="194"/>
    <n v="49964"/>
    <n v="20685"/>
    <n v="148"/>
    <x v="5"/>
    <x v="0"/>
  </r>
  <r>
    <s v="SP133"/>
    <x v="2"/>
    <x v="125"/>
    <x v="0"/>
    <s v="Your weekend playlist is waiting."/>
    <x v="129"/>
    <n v="262"/>
    <n v="218"/>
    <n v="51696"/>
    <n v="44846"/>
    <n v="139"/>
    <x v="3"/>
    <x v="1"/>
  </r>
  <r>
    <s v="SP134"/>
    <x v="1"/>
    <x v="126"/>
    <x v="0"/>
    <s v="New music just dropped. Hit play!"/>
    <x v="130"/>
    <n v="433"/>
    <n v="249"/>
    <n v="30256"/>
    <n v="47066"/>
    <n v="196"/>
    <x v="5"/>
    <x v="0"/>
  </r>
  <r>
    <s v="SP135"/>
    <x v="1"/>
    <x v="127"/>
    <x v="1"/>
    <s v="Explore the latest podcasts now."/>
    <x v="131"/>
    <n v="380"/>
    <n v="393"/>
    <n v="37621"/>
    <n v="71794"/>
    <n v="127"/>
    <x v="2"/>
    <x v="0"/>
  </r>
  <r>
    <s v="SP136"/>
    <x v="1"/>
    <x v="128"/>
    <x v="0"/>
    <s v="Top trending tracks updated daily!"/>
    <x v="132"/>
    <n v="271"/>
    <n v="275"/>
    <n v="22827"/>
    <n v="37034"/>
    <n v="199"/>
    <x v="5"/>
    <x v="0"/>
  </r>
  <r>
    <s v="SP137"/>
    <x v="1"/>
    <x v="129"/>
    <x v="1"/>
    <s v="New music just dropped. Hit play!"/>
    <x v="133"/>
    <n v="175"/>
    <n v="307"/>
    <n v="32793"/>
    <n v="43412"/>
    <n v="296"/>
    <x v="0"/>
    <x v="0"/>
  </r>
  <r>
    <s v="SP138"/>
    <x v="1"/>
    <x v="130"/>
    <x v="1"/>
    <s v="New music just dropped. Hit play!"/>
    <x v="134"/>
    <n v="100"/>
    <n v="116"/>
    <n v="48437"/>
    <n v="72704"/>
    <n v="236"/>
    <x v="4"/>
    <x v="0"/>
  </r>
  <r>
    <s v="SP139"/>
    <x v="1"/>
    <x v="131"/>
    <x v="0"/>
    <s v="Your weekend playlist is waiting."/>
    <x v="135"/>
    <n v="215"/>
    <n v="264"/>
    <n v="27762"/>
    <n v="70203"/>
    <n v="289"/>
    <x v="5"/>
    <x v="0"/>
  </r>
  <r>
    <s v="SP140"/>
    <x v="1"/>
    <x v="132"/>
    <x v="1"/>
    <s v="New music just dropped. Hit play!"/>
    <x v="136"/>
    <n v="357"/>
    <n v="348"/>
    <n v="29428"/>
    <n v="70206"/>
    <n v="236"/>
    <x v="2"/>
    <x v="0"/>
  </r>
  <r>
    <s v="SP141"/>
    <x v="2"/>
    <x v="133"/>
    <x v="2"/>
    <s v="Explore the latest podcasts now."/>
    <x v="137"/>
    <n v="334"/>
    <n v="218"/>
    <n v="58007"/>
    <n v="24792"/>
    <n v="273"/>
    <x v="7"/>
    <x v="3"/>
  </r>
  <r>
    <s v="SP142"/>
    <x v="0"/>
    <x v="134"/>
    <x v="1"/>
    <s v="New music just dropped. Hit play!"/>
    <x v="65"/>
    <n v="398"/>
    <n v="163"/>
    <n v="43679"/>
    <n v="48760"/>
    <n v="92"/>
    <x v="5"/>
    <x v="2"/>
  </r>
  <r>
    <s v="SP143"/>
    <x v="0"/>
    <x v="135"/>
    <x v="0"/>
    <s v="Discover fresh beats on Spotify!"/>
    <x v="138"/>
    <n v="471"/>
    <n v="156"/>
    <n v="53004"/>
    <n v="25678"/>
    <n v="105"/>
    <x v="1"/>
    <x v="1"/>
  </r>
  <r>
    <s v="SP144"/>
    <x v="0"/>
    <x v="40"/>
    <x v="0"/>
    <s v="Discover fresh beats on Spotify!"/>
    <x v="139"/>
    <n v="373"/>
    <n v="291"/>
    <n v="49577"/>
    <n v="28002"/>
    <n v="82"/>
    <x v="0"/>
    <x v="0"/>
  </r>
  <r>
    <s v="SP145"/>
    <x v="1"/>
    <x v="73"/>
    <x v="1"/>
    <s v="Top trending tracks updated daily!"/>
    <x v="140"/>
    <n v="273"/>
    <n v="122"/>
    <n v="40792"/>
    <n v="23878"/>
    <n v="277"/>
    <x v="2"/>
    <x v="0"/>
  </r>
  <r>
    <s v="SP146"/>
    <x v="0"/>
    <x v="136"/>
    <x v="0"/>
    <s v="Discover fresh beats on Spotify!"/>
    <x v="141"/>
    <n v="318"/>
    <n v="380"/>
    <n v="40869"/>
    <n v="64474"/>
    <n v="245"/>
    <x v="1"/>
    <x v="1"/>
  </r>
  <r>
    <s v="SP147"/>
    <x v="1"/>
    <x v="137"/>
    <x v="1"/>
    <s v="Discover fresh beats on Spotify!"/>
    <x v="142"/>
    <n v="136"/>
    <n v="302"/>
    <n v="39187"/>
    <n v="22133"/>
    <n v="208"/>
    <x v="2"/>
    <x v="0"/>
  </r>
  <r>
    <s v="SP148"/>
    <x v="1"/>
    <x v="138"/>
    <x v="1"/>
    <s v="Your weekend playlist is waiting."/>
    <x v="143"/>
    <n v="334"/>
    <n v="56"/>
    <n v="48017"/>
    <n v="55534"/>
    <n v="270"/>
    <x v="4"/>
    <x v="0"/>
  </r>
  <r>
    <s v="SP149"/>
    <x v="1"/>
    <x v="139"/>
    <x v="0"/>
    <s v="From pop to podcasts, itâ€™s all here."/>
    <x v="144"/>
    <n v="408"/>
    <n v="338"/>
    <n v="56994"/>
    <n v="32621"/>
    <n v="286"/>
    <x v="6"/>
    <x v="1"/>
  </r>
  <r>
    <s v="SP150"/>
    <x v="1"/>
    <x v="140"/>
    <x v="1"/>
    <s v="Your weekend playlist is waiting."/>
    <x v="145"/>
    <n v="207"/>
    <n v="363"/>
    <n v="30349"/>
    <n v="32925"/>
    <n v="88"/>
    <x v="2"/>
    <x v="0"/>
  </r>
  <r>
    <s v="SP151"/>
    <x v="0"/>
    <x v="50"/>
    <x v="1"/>
    <s v="Discover fresh beats on Spotify!"/>
    <x v="146"/>
    <n v="400"/>
    <n v="280"/>
    <n v="52508"/>
    <n v="58329"/>
    <n v="219"/>
    <x v="5"/>
    <x v="2"/>
  </r>
  <r>
    <s v="SP152"/>
    <x v="0"/>
    <x v="141"/>
    <x v="0"/>
    <s v="Discover fresh beats on Spotify!"/>
    <x v="147"/>
    <n v="116"/>
    <n v="195"/>
    <n v="37100"/>
    <n v="62629"/>
    <n v="272"/>
    <x v="1"/>
    <x v="1"/>
  </r>
  <r>
    <s v="SP153"/>
    <x v="1"/>
    <x v="142"/>
    <x v="1"/>
    <s v="Explore the latest podcasts now."/>
    <x v="148"/>
    <n v="453"/>
    <n v="63"/>
    <n v="52395"/>
    <n v="72934"/>
    <n v="87"/>
    <x v="4"/>
    <x v="0"/>
  </r>
  <r>
    <s v="SP154"/>
    <x v="0"/>
    <x v="128"/>
    <x v="0"/>
    <s v="Whatâ€™s your vibe today? #SpotifyHits"/>
    <x v="149"/>
    <n v="272"/>
    <n v="294"/>
    <n v="51875"/>
    <n v="24732"/>
    <n v="92"/>
    <x v="1"/>
    <x v="1"/>
  </r>
  <r>
    <s v="SP155"/>
    <x v="0"/>
    <x v="143"/>
    <x v="0"/>
    <s v="Music that moves youâ€”only on Spotify."/>
    <x v="150"/>
    <n v="483"/>
    <n v="227"/>
    <n v="41085"/>
    <n v="26393"/>
    <n v="236"/>
    <x v="0"/>
    <x v="0"/>
  </r>
  <r>
    <s v="SP156"/>
    <x v="2"/>
    <x v="144"/>
    <x v="2"/>
    <s v="Whatâ€™s your vibe today? #SpotifyHits"/>
    <x v="151"/>
    <n v="494"/>
    <n v="129"/>
    <n v="53048"/>
    <n v="44090"/>
    <n v="230"/>
    <x v="7"/>
    <x v="3"/>
  </r>
  <r>
    <s v="SP157"/>
    <x v="2"/>
    <x v="145"/>
    <x v="0"/>
    <s v="From pop to podcasts, itâ€™s all here."/>
    <x v="152"/>
    <n v="185"/>
    <n v="162"/>
    <n v="24610"/>
    <n v="21342"/>
    <n v="158"/>
    <x v="3"/>
    <x v="1"/>
  </r>
  <r>
    <s v="SP158"/>
    <x v="1"/>
    <x v="146"/>
    <x v="1"/>
    <s v="New music just dropped. Hit play!"/>
    <x v="153"/>
    <n v="427"/>
    <n v="395"/>
    <n v="33698"/>
    <n v="29259"/>
    <n v="216"/>
    <x v="4"/>
    <x v="0"/>
  </r>
  <r>
    <s v="SP159"/>
    <x v="0"/>
    <x v="147"/>
    <x v="1"/>
    <s v="Get into the groove with our new drop!"/>
    <x v="154"/>
    <n v="352"/>
    <n v="202"/>
    <n v="25405"/>
    <n v="69941"/>
    <n v="219"/>
    <x v="5"/>
    <x v="2"/>
  </r>
  <r>
    <s v="SP160"/>
    <x v="2"/>
    <x v="148"/>
    <x v="2"/>
    <s v="Top trending tracks updated daily!"/>
    <x v="155"/>
    <n v="298"/>
    <n v="122"/>
    <n v="46225"/>
    <n v="74305"/>
    <n v="293"/>
    <x v="7"/>
    <x v="3"/>
  </r>
  <r>
    <s v="SP161"/>
    <x v="0"/>
    <x v="149"/>
    <x v="0"/>
    <s v="Discover fresh beats on Spotify!"/>
    <x v="156"/>
    <n v="148"/>
    <n v="310"/>
    <n v="22824"/>
    <n v="58103"/>
    <n v="275"/>
    <x v="1"/>
    <x v="1"/>
  </r>
  <r>
    <s v="SP162"/>
    <x v="0"/>
    <x v="150"/>
    <x v="0"/>
    <s v="Music that moves youâ€”only on Spotify."/>
    <x v="55"/>
    <n v="318"/>
    <n v="118"/>
    <n v="25386"/>
    <n v="20873"/>
    <n v="100"/>
    <x v="0"/>
    <x v="0"/>
  </r>
  <r>
    <s v="SP163"/>
    <x v="2"/>
    <x v="151"/>
    <x v="2"/>
    <s v="From pop to podcasts, itâ€™s all here."/>
    <x v="157"/>
    <n v="154"/>
    <n v="204"/>
    <n v="34146"/>
    <n v="44633"/>
    <n v="256"/>
    <x v="7"/>
    <x v="3"/>
  </r>
  <r>
    <s v="SP164"/>
    <x v="0"/>
    <x v="152"/>
    <x v="1"/>
    <s v="Whatâ€™s your vibe today? #SpotifyHits"/>
    <x v="158"/>
    <n v="332"/>
    <n v="163"/>
    <n v="51712"/>
    <n v="57922"/>
    <n v="168"/>
    <x v="5"/>
    <x v="2"/>
  </r>
  <r>
    <s v="SP165"/>
    <x v="0"/>
    <x v="52"/>
    <x v="1"/>
    <s v="Music that moves youâ€”only on Spotify."/>
    <x v="0"/>
    <n v="220"/>
    <n v="280"/>
    <n v="27355"/>
    <n v="50562"/>
    <n v="258"/>
    <x v="5"/>
    <x v="2"/>
  </r>
  <r>
    <s v="SP166"/>
    <x v="0"/>
    <x v="129"/>
    <x v="0"/>
    <s v="New music just dropped. Hit play!"/>
    <x v="159"/>
    <n v="352"/>
    <n v="176"/>
    <n v="53239"/>
    <n v="34168"/>
    <n v="288"/>
    <x v="1"/>
    <x v="1"/>
  </r>
  <r>
    <s v="SP167"/>
    <x v="2"/>
    <x v="153"/>
    <x v="0"/>
    <s v="Wrapped is here! Relive your top tracks ðŸŽ§"/>
    <x v="160"/>
    <n v="423"/>
    <n v="93"/>
    <n v="29828"/>
    <n v="73144"/>
    <n v="298"/>
    <x v="3"/>
    <x v="1"/>
  </r>
  <r>
    <s v="SP168"/>
    <x v="0"/>
    <x v="154"/>
    <x v="0"/>
    <s v="Top trending tracks updated daily!"/>
    <x v="161"/>
    <n v="339"/>
    <n v="323"/>
    <n v="33757"/>
    <n v="68511"/>
    <n v="121"/>
    <x v="0"/>
    <x v="0"/>
  </r>
  <r>
    <s v="SP169"/>
    <x v="2"/>
    <x v="79"/>
    <x v="0"/>
    <s v="New music just dropped. Hit play!"/>
    <x v="162"/>
    <n v="484"/>
    <n v="144"/>
    <n v="52172"/>
    <n v="59386"/>
    <n v="175"/>
    <x v="3"/>
    <x v="1"/>
  </r>
  <r>
    <s v="SP170"/>
    <x v="1"/>
    <x v="155"/>
    <x v="0"/>
    <s v="New music just dropped. Hit play!"/>
    <x v="163"/>
    <n v="371"/>
    <n v="329"/>
    <n v="32347"/>
    <n v="68956"/>
    <n v="259"/>
    <x v="6"/>
    <x v="1"/>
  </r>
  <r>
    <s v="SP171"/>
    <x v="0"/>
    <x v="156"/>
    <x v="1"/>
    <s v="Wrapped is here! Relive your top tracks ðŸŽ§"/>
    <x v="164"/>
    <n v="150"/>
    <n v="75"/>
    <n v="26114"/>
    <n v="57549"/>
    <n v="135"/>
    <x v="5"/>
    <x v="2"/>
  </r>
  <r>
    <s v="SP172"/>
    <x v="2"/>
    <x v="157"/>
    <x v="0"/>
    <s v="Explore the latest podcasts now."/>
    <x v="165"/>
    <n v="293"/>
    <n v="91"/>
    <n v="26795"/>
    <n v="28924"/>
    <n v="278"/>
    <x v="3"/>
    <x v="1"/>
  </r>
  <r>
    <s v="SP173"/>
    <x v="0"/>
    <x v="158"/>
    <x v="0"/>
    <s v="Get into the groove with our new drop!"/>
    <x v="166"/>
    <n v="151"/>
    <n v="249"/>
    <n v="43147"/>
    <n v="63136"/>
    <n v="230"/>
    <x v="1"/>
    <x v="1"/>
  </r>
  <r>
    <s v="SP174"/>
    <x v="2"/>
    <x v="159"/>
    <x v="0"/>
    <s v="Wrapped is here! Relive your top tracks ðŸŽ§"/>
    <x v="167"/>
    <n v="455"/>
    <n v="378"/>
    <n v="52952"/>
    <n v="58504"/>
    <n v="269"/>
    <x v="3"/>
    <x v="1"/>
  </r>
  <r>
    <s v="SP175"/>
    <x v="1"/>
    <x v="160"/>
    <x v="1"/>
    <s v="Music that moves youâ€”only on Spotify."/>
    <x v="168"/>
    <n v="143"/>
    <n v="315"/>
    <n v="54808"/>
    <n v="29818"/>
    <n v="98"/>
    <x v="4"/>
    <x v="0"/>
  </r>
  <r>
    <s v="SP176"/>
    <x v="0"/>
    <x v="161"/>
    <x v="0"/>
    <s v="Top trending tracks updated daily!"/>
    <x v="169"/>
    <n v="371"/>
    <n v="76"/>
    <n v="46493"/>
    <n v="26906"/>
    <n v="150"/>
    <x v="0"/>
    <x v="0"/>
  </r>
  <r>
    <s v="SP177"/>
    <x v="1"/>
    <x v="162"/>
    <x v="0"/>
    <s v="Explore the latest podcasts now."/>
    <x v="170"/>
    <n v="489"/>
    <n v="302"/>
    <n v="32470"/>
    <n v="31861"/>
    <n v="178"/>
    <x v="6"/>
    <x v="1"/>
  </r>
  <r>
    <s v="SP178"/>
    <x v="0"/>
    <x v="163"/>
    <x v="1"/>
    <s v="From pop to podcasts, itâ€™s all here."/>
    <x v="171"/>
    <n v="321"/>
    <n v="289"/>
    <n v="59838"/>
    <n v="36337"/>
    <n v="161"/>
    <x v="5"/>
    <x v="2"/>
  </r>
  <r>
    <s v="SP179"/>
    <x v="1"/>
    <x v="128"/>
    <x v="0"/>
    <s v="Explore the latest podcasts now."/>
    <x v="172"/>
    <n v="353"/>
    <n v="78"/>
    <n v="39745"/>
    <n v="69226"/>
    <n v="208"/>
    <x v="6"/>
    <x v="1"/>
  </r>
  <r>
    <s v="SP180"/>
    <x v="1"/>
    <x v="114"/>
    <x v="1"/>
    <s v="Wrapped is here! Relive your top tracks ðŸŽ§"/>
    <x v="173"/>
    <n v="275"/>
    <n v="330"/>
    <n v="58329"/>
    <n v="33196"/>
    <n v="85"/>
    <x v="2"/>
    <x v="0"/>
  </r>
  <r>
    <s v="SP181"/>
    <x v="1"/>
    <x v="164"/>
    <x v="0"/>
    <s v="From pop to podcasts, itâ€™s all here."/>
    <x v="174"/>
    <n v="288"/>
    <n v="83"/>
    <n v="59606"/>
    <n v="24765"/>
    <n v="281"/>
    <x v="6"/>
    <x v="1"/>
  </r>
  <r>
    <s v="SP182"/>
    <x v="0"/>
    <x v="164"/>
    <x v="0"/>
    <s v="From pop to podcasts, itâ€™s all here."/>
    <x v="102"/>
    <n v="278"/>
    <n v="255"/>
    <n v="47235"/>
    <n v="57922"/>
    <n v="112"/>
    <x v="0"/>
    <x v="0"/>
  </r>
  <r>
    <s v="SP183"/>
    <x v="1"/>
    <x v="165"/>
    <x v="0"/>
    <s v="Top trending tracks updated daily!"/>
    <x v="175"/>
    <n v="398"/>
    <n v="85"/>
    <n v="22020"/>
    <n v="58353"/>
    <n v="286"/>
    <x v="6"/>
    <x v="1"/>
  </r>
  <r>
    <s v="SP184"/>
    <x v="1"/>
    <x v="166"/>
    <x v="1"/>
    <s v="Get into the groove with our new drop!"/>
    <x v="176"/>
    <n v="323"/>
    <n v="251"/>
    <n v="47599"/>
    <n v="35543"/>
    <n v="287"/>
    <x v="2"/>
    <x v="0"/>
  </r>
  <r>
    <s v="SP185"/>
    <x v="2"/>
    <x v="47"/>
    <x v="2"/>
    <s v="New music just dropped. Hit play!"/>
    <x v="177"/>
    <n v="297"/>
    <n v="235"/>
    <n v="37980"/>
    <n v="33058"/>
    <n v="219"/>
    <x v="7"/>
    <x v="3"/>
  </r>
  <r>
    <s v="SP186"/>
    <x v="1"/>
    <x v="167"/>
    <x v="1"/>
    <s v="Explore the latest podcasts now."/>
    <x v="178"/>
    <n v="312"/>
    <n v="254"/>
    <n v="22571"/>
    <n v="29453"/>
    <n v="197"/>
    <x v="2"/>
    <x v="0"/>
  </r>
  <r>
    <s v="SP187"/>
    <x v="2"/>
    <x v="168"/>
    <x v="2"/>
    <s v="Wrapped is here! Relive your top tracks ðŸŽ§"/>
    <x v="179"/>
    <n v="319"/>
    <n v="350"/>
    <n v="37762"/>
    <n v="55162"/>
    <n v="204"/>
    <x v="7"/>
    <x v="3"/>
  </r>
  <r>
    <s v="SP188"/>
    <x v="0"/>
    <x v="169"/>
    <x v="0"/>
    <s v="Wrapped is here! Relive your top tracks ðŸŽ§"/>
    <x v="180"/>
    <n v="171"/>
    <n v="274"/>
    <n v="45122"/>
    <n v="65431"/>
    <n v="168"/>
    <x v="1"/>
    <x v="1"/>
  </r>
  <r>
    <s v="SP189"/>
    <x v="2"/>
    <x v="170"/>
    <x v="2"/>
    <s v="Get into the groove with our new drop!"/>
    <x v="181"/>
    <n v="262"/>
    <n v="365"/>
    <n v="49199"/>
    <n v="40314"/>
    <n v="216"/>
    <x v="7"/>
    <x v="3"/>
  </r>
  <r>
    <s v="SP190"/>
    <x v="0"/>
    <x v="171"/>
    <x v="0"/>
    <s v="Music that moves youâ€”only on Spotify."/>
    <x v="182"/>
    <n v="282"/>
    <n v="148"/>
    <n v="32201"/>
    <n v="49583"/>
    <n v="241"/>
    <x v="0"/>
    <x v="0"/>
  </r>
  <r>
    <s v="SP191"/>
    <x v="2"/>
    <x v="115"/>
    <x v="2"/>
    <s v="Discover fresh beats on Spotify!"/>
    <x v="183"/>
    <n v="307"/>
    <n v="58"/>
    <n v="45080"/>
    <n v="37214"/>
    <n v="240"/>
    <x v="7"/>
    <x v="3"/>
  </r>
  <r>
    <s v="SP192"/>
    <x v="1"/>
    <x v="172"/>
    <x v="1"/>
    <s v="Whatâ€™s your vibe today? #SpotifyHits"/>
    <x v="184"/>
    <n v="434"/>
    <n v="156"/>
    <n v="56165"/>
    <n v="52431"/>
    <n v="173"/>
    <x v="4"/>
    <x v="0"/>
  </r>
  <r>
    <s v="SP193"/>
    <x v="2"/>
    <x v="158"/>
    <x v="2"/>
    <s v="Wrapped is here! Relive your top tracks ðŸŽ§"/>
    <x v="185"/>
    <n v="431"/>
    <n v="83"/>
    <n v="26532"/>
    <n v="47305"/>
    <n v="232"/>
    <x v="7"/>
    <x v="3"/>
  </r>
  <r>
    <s v="SP194"/>
    <x v="1"/>
    <x v="173"/>
    <x v="1"/>
    <s v="Explore the latest podcasts now."/>
    <x v="186"/>
    <n v="111"/>
    <n v="399"/>
    <n v="58366"/>
    <n v="69512"/>
    <n v="269"/>
    <x v="2"/>
    <x v="0"/>
  </r>
  <r>
    <s v="SP195"/>
    <x v="2"/>
    <x v="174"/>
    <x v="0"/>
    <s v="New music just dropped. Hit play!"/>
    <x v="187"/>
    <n v="280"/>
    <n v="399"/>
    <n v="40256"/>
    <n v="52605"/>
    <n v="213"/>
    <x v="3"/>
    <x v="1"/>
  </r>
  <r>
    <s v="SP196"/>
    <x v="0"/>
    <x v="175"/>
    <x v="0"/>
    <s v="From pop to podcasts, itâ€™s all here."/>
    <x v="188"/>
    <n v="487"/>
    <n v="272"/>
    <n v="48810"/>
    <n v="48084"/>
    <n v="272"/>
    <x v="0"/>
    <x v="0"/>
  </r>
  <r>
    <s v="SP197"/>
    <x v="2"/>
    <x v="176"/>
    <x v="0"/>
    <s v="Top trending tracks updated daily!"/>
    <x v="189"/>
    <n v="396"/>
    <n v="312"/>
    <n v="59517"/>
    <n v="46102"/>
    <n v="239"/>
    <x v="3"/>
    <x v="1"/>
  </r>
  <r>
    <s v="SP198"/>
    <x v="1"/>
    <x v="1"/>
    <x v="1"/>
    <s v="Top trending tracks updated daily!"/>
    <x v="190"/>
    <n v="265"/>
    <n v="190"/>
    <n v="43786"/>
    <n v="72428"/>
    <n v="222"/>
    <x v="0"/>
    <x v="0"/>
  </r>
  <r>
    <s v="SP199"/>
    <x v="1"/>
    <x v="177"/>
    <x v="1"/>
    <s v="Get into the groove with our new drop!"/>
    <x v="82"/>
    <n v="179"/>
    <n v="175"/>
    <n v="32991"/>
    <n v="70120"/>
    <n v="276"/>
    <x v="0"/>
    <x v="0"/>
  </r>
  <r>
    <s v="SP200"/>
    <x v="1"/>
    <x v="178"/>
    <x v="0"/>
    <s v="New music just dropped. Hit play!"/>
    <x v="191"/>
    <n v="420"/>
    <n v="94"/>
    <n v="56290"/>
    <n v="57391"/>
    <n v="196"/>
    <x v="5"/>
    <x v="0"/>
  </r>
  <r>
    <s v="SP201"/>
    <x v="1"/>
    <x v="179"/>
    <x v="1"/>
    <s v="Wrapped is here! Relive your top tracks ðŸŽ§"/>
    <x v="192"/>
    <n v="223"/>
    <n v="171"/>
    <n v="35459"/>
    <n v="69988"/>
    <n v="114"/>
    <x v="2"/>
    <x v="0"/>
  </r>
  <r>
    <s v="SP202"/>
    <x v="1"/>
    <x v="68"/>
    <x v="1"/>
    <s v="Wrapped is here! Relive your top tracks ðŸŽ§"/>
    <x v="193"/>
    <n v="141"/>
    <n v="206"/>
    <n v="24916"/>
    <n v="30582"/>
    <n v="157"/>
    <x v="0"/>
    <x v="0"/>
  </r>
  <r>
    <s v="SP203"/>
    <x v="0"/>
    <x v="180"/>
    <x v="0"/>
    <s v="Top trending tracks updated daily!"/>
    <x v="194"/>
    <n v="389"/>
    <n v="92"/>
    <n v="30971"/>
    <n v="25347"/>
    <n v="111"/>
    <x v="1"/>
    <x v="1"/>
  </r>
  <r>
    <s v="SP204"/>
    <x v="1"/>
    <x v="181"/>
    <x v="0"/>
    <s v="Get into the groove with our new drop!"/>
    <x v="195"/>
    <n v="286"/>
    <n v="127"/>
    <n v="47293"/>
    <n v="27184"/>
    <n v="232"/>
    <x v="5"/>
    <x v="0"/>
  </r>
  <r>
    <s v="SP205"/>
    <x v="1"/>
    <x v="63"/>
    <x v="0"/>
    <s v="Wrapped is here! Relive your top tracks ðŸŽ§"/>
    <x v="196"/>
    <n v="315"/>
    <n v="120"/>
    <n v="54592"/>
    <n v="67886"/>
    <n v="117"/>
    <x v="6"/>
    <x v="1"/>
  </r>
  <r>
    <s v="SP206"/>
    <x v="1"/>
    <x v="182"/>
    <x v="1"/>
    <s v="Explore the latest podcasts now."/>
    <x v="197"/>
    <n v="476"/>
    <n v="128"/>
    <n v="57569"/>
    <n v="40193"/>
    <n v="222"/>
    <x v="4"/>
    <x v="0"/>
  </r>
  <r>
    <s v="SP207"/>
    <x v="1"/>
    <x v="129"/>
    <x v="1"/>
    <s v="Wrapped is here! Relive your top tracks ðŸŽ§"/>
    <x v="198"/>
    <n v="443"/>
    <n v="359"/>
    <n v="51519"/>
    <n v="28256"/>
    <n v="155"/>
    <x v="0"/>
    <x v="0"/>
  </r>
  <r>
    <s v="SP208"/>
    <x v="1"/>
    <x v="183"/>
    <x v="0"/>
    <s v="From pop to podcasts, itâ€™s all here."/>
    <x v="199"/>
    <n v="385"/>
    <n v="344"/>
    <n v="54223"/>
    <n v="72595"/>
    <n v="239"/>
    <x v="6"/>
    <x v="1"/>
  </r>
  <r>
    <s v="SP209"/>
    <x v="1"/>
    <x v="184"/>
    <x v="1"/>
    <s v="Whatâ€™s your vibe today? #SpotifyHits"/>
    <x v="200"/>
    <n v="126"/>
    <n v="200"/>
    <n v="44013"/>
    <n v="44679"/>
    <n v="118"/>
    <x v="4"/>
    <x v="0"/>
  </r>
  <r>
    <s v="SP210"/>
    <x v="1"/>
    <x v="185"/>
    <x v="1"/>
    <s v="Top trending tracks updated daily!"/>
    <x v="201"/>
    <n v="361"/>
    <n v="240"/>
    <n v="47229"/>
    <n v="72573"/>
    <n v="275"/>
    <x v="0"/>
    <x v="0"/>
  </r>
  <r>
    <s v="SP211"/>
    <x v="1"/>
    <x v="186"/>
    <x v="1"/>
    <s v="Discover fresh beats on Spotify!"/>
    <x v="202"/>
    <n v="153"/>
    <n v="81"/>
    <n v="48350"/>
    <n v="61033"/>
    <n v="232"/>
    <x v="4"/>
    <x v="0"/>
  </r>
  <r>
    <s v="SP212"/>
    <x v="1"/>
    <x v="187"/>
    <x v="1"/>
    <s v="Whatâ€™s your vibe today? #SpotifyHits"/>
    <x v="203"/>
    <n v="452"/>
    <n v="305"/>
    <n v="54541"/>
    <n v="63700"/>
    <n v="296"/>
    <x v="4"/>
    <x v="0"/>
  </r>
  <r>
    <s v="SP213"/>
    <x v="0"/>
    <x v="188"/>
    <x v="1"/>
    <s v="Get into the groove with our new drop!"/>
    <x v="204"/>
    <n v="422"/>
    <n v="376"/>
    <n v="31674"/>
    <n v="53225"/>
    <n v="147"/>
    <x v="5"/>
    <x v="2"/>
  </r>
  <r>
    <s v="SP214"/>
    <x v="1"/>
    <x v="30"/>
    <x v="0"/>
    <s v="Wrapped is here! Relive your top tracks ðŸŽ§"/>
    <x v="205"/>
    <n v="167"/>
    <n v="73"/>
    <n v="23090"/>
    <n v="25872"/>
    <n v="293"/>
    <x v="6"/>
    <x v="1"/>
  </r>
  <r>
    <s v="SP215"/>
    <x v="2"/>
    <x v="189"/>
    <x v="0"/>
    <s v="Your weekend playlist is waiting."/>
    <x v="206"/>
    <n v="324"/>
    <n v="182"/>
    <n v="37525"/>
    <n v="37216"/>
    <n v="186"/>
    <x v="3"/>
    <x v="1"/>
  </r>
  <r>
    <s v="SP216"/>
    <x v="1"/>
    <x v="175"/>
    <x v="0"/>
    <s v="Music that moves youâ€”only on Spotify."/>
    <x v="207"/>
    <n v="285"/>
    <n v="100"/>
    <n v="41313"/>
    <n v="56575"/>
    <n v="174"/>
    <x v="6"/>
    <x v="1"/>
  </r>
  <r>
    <s v="SP217"/>
    <x v="0"/>
    <x v="190"/>
    <x v="0"/>
    <s v="Whatâ€™s your vibe today? #SpotifyHits"/>
    <x v="208"/>
    <n v="240"/>
    <n v="57"/>
    <n v="26109"/>
    <n v="46667"/>
    <n v="133"/>
    <x v="0"/>
    <x v="0"/>
  </r>
  <r>
    <s v="SP218"/>
    <x v="1"/>
    <x v="191"/>
    <x v="1"/>
    <s v="Explore the latest podcasts now."/>
    <x v="209"/>
    <n v="306"/>
    <n v="302"/>
    <n v="39575"/>
    <n v="33762"/>
    <n v="265"/>
    <x v="4"/>
    <x v="0"/>
  </r>
  <r>
    <s v="SP219"/>
    <x v="1"/>
    <x v="192"/>
    <x v="0"/>
    <s v="From pop to podcasts, itâ€™s all here."/>
    <x v="210"/>
    <n v="456"/>
    <n v="379"/>
    <n v="51611"/>
    <n v="45880"/>
    <n v="176"/>
    <x v="6"/>
    <x v="1"/>
  </r>
  <r>
    <s v="SP220"/>
    <x v="2"/>
    <x v="193"/>
    <x v="0"/>
    <s v="Whatâ€™s your vibe today? #SpotifyHits"/>
    <x v="211"/>
    <n v="140"/>
    <n v="375"/>
    <n v="38372"/>
    <n v="22102"/>
    <n v="255"/>
    <x v="3"/>
    <x v="1"/>
  </r>
  <r>
    <s v="SP221"/>
    <x v="1"/>
    <x v="194"/>
    <x v="1"/>
    <s v="Music that moves youâ€”only on Spotify."/>
    <x v="212"/>
    <n v="241"/>
    <n v="317"/>
    <n v="26247"/>
    <n v="20677"/>
    <n v="282"/>
    <x v="2"/>
    <x v="0"/>
  </r>
  <r>
    <s v="SP222"/>
    <x v="1"/>
    <x v="195"/>
    <x v="0"/>
    <s v="Explore the latest podcasts now."/>
    <x v="213"/>
    <n v="127"/>
    <n v="139"/>
    <n v="44768"/>
    <n v="29435"/>
    <n v="178"/>
    <x v="5"/>
    <x v="0"/>
  </r>
  <r>
    <s v="SP223"/>
    <x v="1"/>
    <x v="196"/>
    <x v="0"/>
    <s v="Whatâ€™s your vibe today? #SpotifyHits"/>
    <x v="214"/>
    <n v="168"/>
    <n v="199"/>
    <n v="54232"/>
    <n v="52844"/>
    <n v="271"/>
    <x v="6"/>
    <x v="1"/>
  </r>
  <r>
    <s v="SP224"/>
    <x v="1"/>
    <x v="193"/>
    <x v="0"/>
    <s v="From pop to podcasts, itâ€™s all here."/>
    <x v="215"/>
    <n v="270"/>
    <n v="93"/>
    <n v="45260"/>
    <n v="57513"/>
    <n v="103"/>
    <x v="5"/>
    <x v="0"/>
  </r>
  <r>
    <s v="SP225"/>
    <x v="2"/>
    <x v="197"/>
    <x v="0"/>
    <s v="Wrapped is here! Relive your top tracks ðŸŽ§"/>
    <x v="216"/>
    <n v="437"/>
    <n v="267"/>
    <n v="40634"/>
    <n v="54511"/>
    <n v="197"/>
    <x v="3"/>
    <x v="1"/>
  </r>
  <r>
    <s v="SP226"/>
    <x v="1"/>
    <x v="198"/>
    <x v="1"/>
    <s v="New music just dropped. Hit play!"/>
    <x v="217"/>
    <n v="499"/>
    <n v="212"/>
    <n v="54938"/>
    <n v="27190"/>
    <n v="265"/>
    <x v="2"/>
    <x v="0"/>
  </r>
  <r>
    <s v="SP227"/>
    <x v="2"/>
    <x v="199"/>
    <x v="0"/>
    <s v="Music that moves youâ€”only on Spotify."/>
    <x v="218"/>
    <n v="171"/>
    <n v="106"/>
    <n v="36955"/>
    <n v="23949"/>
    <n v="294"/>
    <x v="3"/>
    <x v="1"/>
  </r>
  <r>
    <s v="SP228"/>
    <x v="2"/>
    <x v="140"/>
    <x v="2"/>
    <s v="Whatâ€™s your vibe today? #SpotifyHits"/>
    <x v="219"/>
    <n v="442"/>
    <n v="319"/>
    <n v="57194"/>
    <n v="24258"/>
    <n v="101"/>
    <x v="7"/>
    <x v="3"/>
  </r>
  <r>
    <s v="SP229"/>
    <x v="2"/>
    <x v="115"/>
    <x v="0"/>
    <s v="Music that moves youâ€”only on Spotify."/>
    <x v="220"/>
    <n v="226"/>
    <n v="349"/>
    <n v="56876"/>
    <n v="28452"/>
    <n v="257"/>
    <x v="3"/>
    <x v="1"/>
  </r>
  <r>
    <s v="SP230"/>
    <x v="2"/>
    <x v="23"/>
    <x v="0"/>
    <s v="Discover fresh beats on Spotify!"/>
    <x v="221"/>
    <n v="272"/>
    <n v="385"/>
    <n v="47496"/>
    <n v="40832"/>
    <n v="246"/>
    <x v="3"/>
    <x v="1"/>
  </r>
  <r>
    <s v="SP231"/>
    <x v="0"/>
    <x v="65"/>
    <x v="0"/>
    <s v="Whatâ€™s your vibe today? #SpotifyHits"/>
    <x v="222"/>
    <n v="280"/>
    <n v="67"/>
    <n v="29847"/>
    <n v="48016"/>
    <n v="213"/>
    <x v="0"/>
    <x v="0"/>
  </r>
  <r>
    <s v="SP232"/>
    <x v="2"/>
    <x v="77"/>
    <x v="0"/>
    <s v="Top trending tracks updated daily!"/>
    <x v="223"/>
    <n v="284"/>
    <n v="306"/>
    <n v="44606"/>
    <n v="42604"/>
    <n v="290"/>
    <x v="3"/>
    <x v="1"/>
  </r>
  <r>
    <s v="SP233"/>
    <x v="1"/>
    <x v="200"/>
    <x v="0"/>
    <s v="From pop to podcasts, itâ€™s all here."/>
    <x v="224"/>
    <n v="309"/>
    <n v="91"/>
    <n v="39038"/>
    <n v="28095"/>
    <n v="277"/>
    <x v="5"/>
    <x v="0"/>
  </r>
  <r>
    <s v="SP234"/>
    <x v="1"/>
    <x v="201"/>
    <x v="0"/>
    <s v="From pop to podcasts, itâ€™s all here."/>
    <x v="225"/>
    <n v="115"/>
    <n v="286"/>
    <n v="25127"/>
    <n v="22277"/>
    <n v="263"/>
    <x v="5"/>
    <x v="0"/>
  </r>
  <r>
    <s v="SP235"/>
    <x v="2"/>
    <x v="102"/>
    <x v="0"/>
    <s v="Your weekend playlist is waiting."/>
    <x v="226"/>
    <n v="411"/>
    <n v="190"/>
    <n v="41791"/>
    <n v="57090"/>
    <n v="172"/>
    <x v="3"/>
    <x v="1"/>
  </r>
  <r>
    <s v="SP236"/>
    <x v="0"/>
    <x v="202"/>
    <x v="0"/>
    <s v="Discover fresh beats on Spotify!"/>
    <x v="227"/>
    <n v="202"/>
    <n v="239"/>
    <n v="36245"/>
    <n v="48606"/>
    <n v="145"/>
    <x v="1"/>
    <x v="1"/>
  </r>
  <r>
    <s v="SP237"/>
    <x v="2"/>
    <x v="174"/>
    <x v="0"/>
    <s v="Whatâ€™s your vibe today? #SpotifyHits"/>
    <x v="228"/>
    <n v="238"/>
    <n v="386"/>
    <n v="39198"/>
    <n v="25050"/>
    <n v="297"/>
    <x v="3"/>
    <x v="1"/>
  </r>
  <r>
    <s v="SP238"/>
    <x v="0"/>
    <x v="7"/>
    <x v="0"/>
    <s v="Explore the latest podcasts now."/>
    <x v="229"/>
    <n v="427"/>
    <n v="242"/>
    <n v="59272"/>
    <n v="37833"/>
    <n v="214"/>
    <x v="0"/>
    <x v="0"/>
  </r>
  <r>
    <s v="SP239"/>
    <x v="1"/>
    <x v="203"/>
    <x v="1"/>
    <s v="New music just dropped. Hit play!"/>
    <x v="230"/>
    <n v="300"/>
    <n v="338"/>
    <n v="32900"/>
    <n v="31691"/>
    <n v="160"/>
    <x v="2"/>
    <x v="0"/>
  </r>
  <r>
    <s v="SP240"/>
    <x v="2"/>
    <x v="46"/>
    <x v="0"/>
    <s v="Wrapped is here! Relive your top tracks ðŸŽ§"/>
    <x v="231"/>
    <n v="389"/>
    <n v="358"/>
    <n v="52346"/>
    <n v="30518"/>
    <n v="277"/>
    <x v="3"/>
    <x v="1"/>
  </r>
  <r>
    <s v="SP241"/>
    <x v="1"/>
    <x v="204"/>
    <x v="0"/>
    <s v="Get into the groove with our new drop!"/>
    <x v="232"/>
    <n v="340"/>
    <n v="85"/>
    <n v="53323"/>
    <n v="49938"/>
    <n v="104"/>
    <x v="5"/>
    <x v="0"/>
  </r>
  <r>
    <s v="SP242"/>
    <x v="1"/>
    <x v="205"/>
    <x v="1"/>
    <s v="From pop to podcasts, itâ€™s all here."/>
    <x v="233"/>
    <n v="208"/>
    <n v="273"/>
    <n v="35780"/>
    <n v="44349"/>
    <n v="133"/>
    <x v="4"/>
    <x v="0"/>
  </r>
  <r>
    <s v="SP243"/>
    <x v="1"/>
    <x v="193"/>
    <x v="1"/>
    <s v="Wrapped is here! Relive your top tracks ðŸŽ§"/>
    <x v="234"/>
    <n v="230"/>
    <n v="243"/>
    <n v="27904"/>
    <n v="69771"/>
    <n v="255"/>
    <x v="4"/>
    <x v="0"/>
  </r>
  <r>
    <s v="SP244"/>
    <x v="2"/>
    <x v="206"/>
    <x v="0"/>
    <s v="Music that moves youâ€”only on Spotify."/>
    <x v="235"/>
    <n v="303"/>
    <n v="294"/>
    <n v="57468"/>
    <n v="53397"/>
    <n v="159"/>
    <x v="3"/>
    <x v="1"/>
  </r>
  <r>
    <s v="SP245"/>
    <x v="1"/>
    <x v="31"/>
    <x v="1"/>
    <s v="Your weekend playlist is waiting."/>
    <x v="236"/>
    <n v="284"/>
    <n v="204"/>
    <n v="46434"/>
    <n v="53396"/>
    <n v="104"/>
    <x v="2"/>
    <x v="0"/>
  </r>
  <r>
    <s v="SP246"/>
    <x v="1"/>
    <x v="207"/>
    <x v="1"/>
    <s v="Top trending tracks updated daily!"/>
    <x v="237"/>
    <n v="258"/>
    <n v="168"/>
    <n v="20677"/>
    <n v="68290"/>
    <n v="130"/>
    <x v="0"/>
    <x v="0"/>
  </r>
  <r>
    <s v="SP247"/>
    <x v="1"/>
    <x v="172"/>
    <x v="1"/>
    <s v="Your weekend playlist is waiting."/>
    <x v="238"/>
    <n v="354"/>
    <n v="397"/>
    <n v="56773"/>
    <n v="72110"/>
    <n v="163"/>
    <x v="4"/>
    <x v="0"/>
  </r>
  <r>
    <s v="SP248"/>
    <x v="2"/>
    <x v="208"/>
    <x v="2"/>
    <s v="Wrapped is here! Relive your top tracks ðŸŽ§"/>
    <x v="239"/>
    <n v="310"/>
    <n v="344"/>
    <n v="27911"/>
    <n v="19000"/>
    <n v="225"/>
    <x v="7"/>
    <x v="3"/>
  </r>
  <r>
    <s v="SP249"/>
    <x v="0"/>
    <x v="9"/>
    <x v="0"/>
    <s v="Whatâ€™s your vibe today? #SpotifyHits"/>
    <x v="240"/>
    <n v="263"/>
    <n v="107"/>
    <n v="26570"/>
    <n v="19367"/>
    <n v="96"/>
    <x v="1"/>
    <x v="1"/>
  </r>
  <r>
    <s v="SP250"/>
    <x v="1"/>
    <x v="126"/>
    <x v="0"/>
    <s v="Your weekend playlist is waiting."/>
    <x v="241"/>
    <n v="210"/>
    <n v="311"/>
    <n v="29793"/>
    <n v="37543"/>
    <n v="145"/>
    <x v="5"/>
    <x v="0"/>
  </r>
  <r>
    <s v="SP251"/>
    <x v="1"/>
    <x v="60"/>
    <x v="0"/>
    <s v="Whatâ€™s your vibe today? #SpotifyHits"/>
    <x v="242"/>
    <n v="417"/>
    <n v="294"/>
    <n v="57819"/>
    <n v="19798"/>
    <n v="262"/>
    <x v="6"/>
    <x v="1"/>
  </r>
  <r>
    <s v="SP252"/>
    <x v="2"/>
    <x v="96"/>
    <x v="0"/>
    <s v="New music just dropped. Hit play!"/>
    <x v="243"/>
    <n v="211"/>
    <n v="55"/>
    <n v="45917"/>
    <n v="73503"/>
    <n v="248"/>
    <x v="3"/>
    <x v="1"/>
  </r>
  <r>
    <s v="SP253"/>
    <x v="2"/>
    <x v="209"/>
    <x v="0"/>
    <s v="From pop to podcasts, itâ€™s all here."/>
    <x v="244"/>
    <n v="197"/>
    <n v="290"/>
    <n v="49500"/>
    <n v="23343"/>
    <n v="160"/>
    <x v="3"/>
    <x v="1"/>
  </r>
  <r>
    <s v="SP254"/>
    <x v="1"/>
    <x v="210"/>
    <x v="0"/>
    <s v="Whatâ€™s your vibe today? #SpotifyHits"/>
    <x v="245"/>
    <n v="231"/>
    <n v="94"/>
    <n v="34431"/>
    <n v="32560"/>
    <n v="262"/>
    <x v="5"/>
    <x v="0"/>
  </r>
  <r>
    <s v="SP255"/>
    <x v="1"/>
    <x v="154"/>
    <x v="1"/>
    <s v="Top trending tracks updated daily!"/>
    <x v="246"/>
    <n v="146"/>
    <n v="399"/>
    <n v="49319"/>
    <n v="28056"/>
    <n v="90"/>
    <x v="4"/>
    <x v="0"/>
  </r>
  <r>
    <s v="SP256"/>
    <x v="1"/>
    <x v="207"/>
    <x v="1"/>
    <s v="Wrapped is here! Relive your top tracks ðŸŽ§"/>
    <x v="247"/>
    <n v="289"/>
    <n v="161"/>
    <n v="52645"/>
    <n v="66262"/>
    <n v="146"/>
    <x v="2"/>
    <x v="0"/>
  </r>
  <r>
    <s v="SP257"/>
    <x v="1"/>
    <x v="211"/>
    <x v="1"/>
    <s v="Top trending tracks updated daily!"/>
    <x v="248"/>
    <n v="326"/>
    <n v="86"/>
    <n v="44680"/>
    <n v="52719"/>
    <n v="272"/>
    <x v="4"/>
    <x v="0"/>
  </r>
  <r>
    <s v="SP258"/>
    <x v="2"/>
    <x v="123"/>
    <x v="2"/>
    <s v="From pop to podcasts, itâ€™s all here."/>
    <x v="249"/>
    <n v="156"/>
    <n v="178"/>
    <n v="52980"/>
    <n v="57180"/>
    <n v="286"/>
    <x v="7"/>
    <x v="3"/>
  </r>
  <r>
    <s v="SP259"/>
    <x v="1"/>
    <x v="212"/>
    <x v="1"/>
    <s v="Music that moves youâ€”only on Spotify."/>
    <x v="250"/>
    <n v="480"/>
    <n v="282"/>
    <n v="32140"/>
    <n v="70560"/>
    <n v="138"/>
    <x v="0"/>
    <x v="0"/>
  </r>
  <r>
    <s v="SP260"/>
    <x v="1"/>
    <x v="67"/>
    <x v="1"/>
    <s v="Explore the latest podcasts now."/>
    <x v="251"/>
    <n v="154"/>
    <n v="123"/>
    <n v="43369"/>
    <n v="49035"/>
    <n v="128"/>
    <x v="2"/>
    <x v="0"/>
  </r>
  <r>
    <s v="SP261"/>
    <x v="1"/>
    <x v="213"/>
    <x v="0"/>
    <s v="From pop to podcasts, itâ€™s all here."/>
    <x v="252"/>
    <n v="263"/>
    <n v="308"/>
    <n v="51740"/>
    <n v="28214"/>
    <n v="190"/>
    <x v="6"/>
    <x v="1"/>
  </r>
  <r>
    <s v="SP262"/>
    <x v="1"/>
    <x v="214"/>
    <x v="1"/>
    <s v="Explore the latest podcasts now."/>
    <x v="253"/>
    <n v="255"/>
    <n v="193"/>
    <n v="44386"/>
    <n v="28415"/>
    <n v="174"/>
    <x v="2"/>
    <x v="0"/>
  </r>
  <r>
    <s v="SP263"/>
    <x v="2"/>
    <x v="215"/>
    <x v="0"/>
    <s v="Music that moves youâ€”only on Spotify."/>
    <x v="254"/>
    <n v="191"/>
    <n v="221"/>
    <n v="51603"/>
    <n v="40033"/>
    <n v="173"/>
    <x v="3"/>
    <x v="1"/>
  </r>
  <r>
    <s v="SP264"/>
    <x v="2"/>
    <x v="190"/>
    <x v="2"/>
    <s v="Get into the groove with our new drop!"/>
    <x v="255"/>
    <n v="318"/>
    <n v="83"/>
    <n v="46719"/>
    <n v="20482"/>
    <n v="185"/>
    <x v="7"/>
    <x v="3"/>
  </r>
  <r>
    <s v="SP265"/>
    <x v="1"/>
    <x v="76"/>
    <x v="1"/>
    <s v="Explore the latest podcasts now."/>
    <x v="256"/>
    <n v="141"/>
    <n v="63"/>
    <n v="50081"/>
    <n v="27507"/>
    <n v="221"/>
    <x v="4"/>
    <x v="0"/>
  </r>
  <r>
    <s v="SP266"/>
    <x v="0"/>
    <x v="140"/>
    <x v="1"/>
    <s v="Get into the groove with our new drop!"/>
    <x v="257"/>
    <n v="464"/>
    <n v="98"/>
    <n v="25737"/>
    <n v="48545"/>
    <n v="246"/>
    <x v="5"/>
    <x v="2"/>
  </r>
  <r>
    <s v="SP267"/>
    <x v="2"/>
    <x v="216"/>
    <x v="0"/>
    <s v="Top trending tracks updated daily!"/>
    <x v="258"/>
    <n v="166"/>
    <n v="320"/>
    <n v="48254"/>
    <n v="46900"/>
    <n v="111"/>
    <x v="3"/>
    <x v="1"/>
  </r>
  <r>
    <s v="SP268"/>
    <x v="2"/>
    <x v="217"/>
    <x v="2"/>
    <s v="Explore the latest podcasts now."/>
    <x v="259"/>
    <n v="446"/>
    <n v="216"/>
    <n v="45818"/>
    <n v="62723"/>
    <n v="85"/>
    <x v="7"/>
    <x v="3"/>
  </r>
  <r>
    <s v="SP269"/>
    <x v="2"/>
    <x v="218"/>
    <x v="2"/>
    <s v="Music that moves youâ€”only on Spotify."/>
    <x v="260"/>
    <n v="374"/>
    <n v="298"/>
    <n v="56979"/>
    <n v="24098"/>
    <n v="205"/>
    <x v="7"/>
    <x v="3"/>
  </r>
  <r>
    <s v="SP270"/>
    <x v="1"/>
    <x v="88"/>
    <x v="1"/>
    <s v="New music just dropped. Hit play!"/>
    <x v="261"/>
    <n v="466"/>
    <n v="105"/>
    <n v="58923"/>
    <n v="38753"/>
    <n v="265"/>
    <x v="4"/>
    <x v="0"/>
  </r>
  <r>
    <s v="SP271"/>
    <x v="1"/>
    <x v="45"/>
    <x v="1"/>
    <s v="Discover fresh beats on Spotify!"/>
    <x v="262"/>
    <n v="440"/>
    <n v="66"/>
    <n v="23815"/>
    <n v="47895"/>
    <n v="210"/>
    <x v="4"/>
    <x v="0"/>
  </r>
  <r>
    <s v="SP272"/>
    <x v="1"/>
    <x v="19"/>
    <x v="0"/>
    <s v="Explore the latest podcasts now."/>
    <x v="263"/>
    <n v="395"/>
    <n v="328"/>
    <n v="56921"/>
    <n v="37176"/>
    <n v="126"/>
    <x v="6"/>
    <x v="1"/>
  </r>
  <r>
    <s v="SP273"/>
    <x v="1"/>
    <x v="43"/>
    <x v="0"/>
    <s v="Explore the latest podcasts now."/>
    <x v="264"/>
    <n v="486"/>
    <n v="206"/>
    <n v="51133"/>
    <n v="44583"/>
    <n v="276"/>
    <x v="5"/>
    <x v="0"/>
  </r>
  <r>
    <s v="SP274"/>
    <x v="0"/>
    <x v="12"/>
    <x v="0"/>
    <s v="Explore the latest podcasts now."/>
    <x v="265"/>
    <n v="384"/>
    <n v="236"/>
    <n v="49965"/>
    <n v="61555"/>
    <n v="195"/>
    <x v="1"/>
    <x v="1"/>
  </r>
  <r>
    <s v="SP275"/>
    <x v="0"/>
    <x v="219"/>
    <x v="0"/>
    <s v="Wrapped is here! Relive your top tracks ðŸŽ§"/>
    <x v="143"/>
    <n v="449"/>
    <n v="309"/>
    <n v="58530"/>
    <n v="26630"/>
    <n v="234"/>
    <x v="1"/>
    <x v="1"/>
  </r>
  <r>
    <s v="SP276"/>
    <x v="1"/>
    <x v="220"/>
    <x v="0"/>
    <s v="Discover fresh beats on Spotify!"/>
    <x v="266"/>
    <n v="258"/>
    <n v="292"/>
    <n v="47276"/>
    <n v="51324"/>
    <n v="143"/>
    <x v="5"/>
    <x v="0"/>
  </r>
  <r>
    <s v="SP277"/>
    <x v="0"/>
    <x v="210"/>
    <x v="1"/>
    <s v="New music just dropped. Hit play!"/>
    <x v="267"/>
    <n v="486"/>
    <n v="269"/>
    <n v="23341"/>
    <n v="42411"/>
    <n v="184"/>
    <x v="5"/>
    <x v="2"/>
  </r>
  <r>
    <s v="SP278"/>
    <x v="0"/>
    <x v="221"/>
    <x v="0"/>
    <s v="Top trending tracks updated daily!"/>
    <x v="268"/>
    <n v="292"/>
    <n v="245"/>
    <n v="56371"/>
    <n v="65597"/>
    <n v="163"/>
    <x v="0"/>
    <x v="0"/>
  </r>
  <r>
    <s v="SP279"/>
    <x v="1"/>
    <x v="212"/>
    <x v="1"/>
    <s v="New music just dropped. Hit play!"/>
    <x v="269"/>
    <n v="295"/>
    <n v="371"/>
    <n v="20410"/>
    <n v="53965"/>
    <n v="212"/>
    <x v="0"/>
    <x v="0"/>
  </r>
  <r>
    <s v="SP280"/>
    <x v="1"/>
    <x v="124"/>
    <x v="1"/>
    <s v="Wrapped is here! Relive your top tracks ðŸŽ§"/>
    <x v="270"/>
    <n v="317"/>
    <n v="249"/>
    <n v="44862"/>
    <n v="33365"/>
    <n v="184"/>
    <x v="4"/>
    <x v="0"/>
  </r>
  <r>
    <s v="SP281"/>
    <x v="0"/>
    <x v="222"/>
    <x v="0"/>
    <s v="Top trending tracks updated daily!"/>
    <x v="271"/>
    <n v="469"/>
    <n v="193"/>
    <n v="56701"/>
    <n v="69437"/>
    <n v="291"/>
    <x v="0"/>
    <x v="0"/>
  </r>
  <r>
    <s v="SP282"/>
    <x v="1"/>
    <x v="223"/>
    <x v="1"/>
    <s v="Get into the groove with our new drop!"/>
    <x v="272"/>
    <n v="439"/>
    <n v="148"/>
    <n v="58468"/>
    <n v="39629"/>
    <n v="163"/>
    <x v="2"/>
    <x v="0"/>
  </r>
  <r>
    <s v="SP283"/>
    <x v="0"/>
    <x v="132"/>
    <x v="0"/>
    <s v="Music that moves youâ€”only on Spotify."/>
    <x v="273"/>
    <n v="359"/>
    <n v="280"/>
    <n v="56048"/>
    <n v="70930"/>
    <n v="295"/>
    <x v="1"/>
    <x v="1"/>
  </r>
  <r>
    <s v="SP284"/>
    <x v="0"/>
    <x v="224"/>
    <x v="1"/>
    <s v="Top trending tracks updated daily!"/>
    <x v="274"/>
    <n v="255"/>
    <n v="156"/>
    <n v="27660"/>
    <n v="47776"/>
    <n v="111"/>
    <x v="5"/>
    <x v="2"/>
  </r>
  <r>
    <s v="SP285"/>
    <x v="2"/>
    <x v="225"/>
    <x v="0"/>
    <s v="New music just dropped. Hit play!"/>
    <x v="275"/>
    <n v="357"/>
    <n v="257"/>
    <n v="56910"/>
    <n v="70606"/>
    <n v="228"/>
    <x v="3"/>
    <x v="1"/>
  </r>
  <r>
    <s v="SP286"/>
    <x v="0"/>
    <x v="98"/>
    <x v="0"/>
    <s v="Get into the groove with our new drop!"/>
    <x v="276"/>
    <n v="137"/>
    <n v="387"/>
    <n v="33861"/>
    <n v="47257"/>
    <n v="198"/>
    <x v="1"/>
    <x v="1"/>
  </r>
  <r>
    <s v="SP287"/>
    <x v="2"/>
    <x v="226"/>
    <x v="0"/>
    <s v="Your weekend playlist is waiting."/>
    <x v="277"/>
    <n v="338"/>
    <n v="70"/>
    <n v="30515"/>
    <n v="57853"/>
    <n v="156"/>
    <x v="3"/>
    <x v="1"/>
  </r>
  <r>
    <s v="SP288"/>
    <x v="1"/>
    <x v="151"/>
    <x v="1"/>
    <s v="From pop to podcasts, itâ€™s all here."/>
    <x v="278"/>
    <n v="442"/>
    <n v="236"/>
    <n v="52673"/>
    <n v="48241"/>
    <n v="114"/>
    <x v="4"/>
    <x v="0"/>
  </r>
  <r>
    <s v="SP289"/>
    <x v="0"/>
    <x v="74"/>
    <x v="1"/>
    <s v="New music just dropped. Hit play!"/>
    <x v="279"/>
    <n v="440"/>
    <n v="149"/>
    <n v="53269"/>
    <n v="64370"/>
    <n v="269"/>
    <x v="5"/>
    <x v="2"/>
  </r>
  <r>
    <s v="SP290"/>
    <x v="1"/>
    <x v="227"/>
    <x v="0"/>
    <s v="Explore the latest podcasts now."/>
    <x v="28"/>
    <n v="107"/>
    <n v="221"/>
    <n v="23927"/>
    <n v="26182"/>
    <n v="155"/>
    <x v="6"/>
    <x v="1"/>
  </r>
  <r>
    <s v="SP291"/>
    <x v="0"/>
    <x v="228"/>
    <x v="0"/>
    <s v="Your weekend playlist is waiting."/>
    <x v="280"/>
    <n v="490"/>
    <n v="124"/>
    <n v="46544"/>
    <n v="69346"/>
    <n v="178"/>
    <x v="0"/>
    <x v="0"/>
  </r>
  <r>
    <s v="SP292"/>
    <x v="1"/>
    <x v="59"/>
    <x v="1"/>
    <s v="Explore the latest podcasts now."/>
    <x v="281"/>
    <n v="320"/>
    <n v="76"/>
    <n v="26640"/>
    <n v="24306"/>
    <n v="112"/>
    <x v="2"/>
    <x v="0"/>
  </r>
  <r>
    <s v="SP293"/>
    <x v="2"/>
    <x v="229"/>
    <x v="2"/>
    <s v="Your weekend playlist is waiting."/>
    <x v="282"/>
    <n v="230"/>
    <n v="364"/>
    <n v="41312"/>
    <n v="50382"/>
    <n v="106"/>
    <x v="7"/>
    <x v="3"/>
  </r>
  <r>
    <s v="SP294"/>
    <x v="0"/>
    <x v="230"/>
    <x v="0"/>
    <s v="From pop to podcasts, itâ€™s all here."/>
    <x v="283"/>
    <n v="219"/>
    <n v="229"/>
    <n v="58488"/>
    <n v="24314"/>
    <n v="147"/>
    <x v="1"/>
    <x v="1"/>
  </r>
  <r>
    <s v="SP295"/>
    <x v="0"/>
    <x v="231"/>
    <x v="1"/>
    <s v="Top trending tracks updated daily!"/>
    <x v="284"/>
    <n v="392"/>
    <n v="231"/>
    <n v="25834"/>
    <n v="50906"/>
    <n v="165"/>
    <x v="5"/>
    <x v="2"/>
  </r>
  <r>
    <s v="SP296"/>
    <x v="1"/>
    <x v="123"/>
    <x v="1"/>
    <s v="Your weekend playlist is waiting."/>
    <x v="285"/>
    <n v="104"/>
    <n v="79"/>
    <n v="30025"/>
    <n v="21593"/>
    <n v="165"/>
    <x v="2"/>
    <x v="0"/>
  </r>
  <r>
    <s v="SP297"/>
    <x v="1"/>
    <x v="213"/>
    <x v="0"/>
    <s v="Explore the latest podcasts now."/>
    <x v="286"/>
    <n v="108"/>
    <n v="86"/>
    <n v="51777"/>
    <n v="23773"/>
    <n v="160"/>
    <x v="6"/>
    <x v="1"/>
  </r>
  <r>
    <s v="SP298"/>
    <x v="1"/>
    <x v="232"/>
    <x v="0"/>
    <s v="Whatâ€™s your vibe today? #SpotifyHits"/>
    <x v="287"/>
    <n v="285"/>
    <n v="125"/>
    <n v="43970"/>
    <n v="74761"/>
    <n v="83"/>
    <x v="5"/>
    <x v="0"/>
  </r>
  <r>
    <s v="SP299"/>
    <x v="1"/>
    <x v="233"/>
    <x v="1"/>
    <s v="Wrapped is here! Relive your top tracks ðŸŽ§"/>
    <x v="288"/>
    <n v="494"/>
    <n v="161"/>
    <n v="51651"/>
    <n v="68074"/>
    <n v="240"/>
    <x v="4"/>
    <x v="0"/>
  </r>
  <r>
    <s v="SP300"/>
    <x v="0"/>
    <x v="234"/>
    <x v="0"/>
    <s v="Music that moves youâ€”only on Spotify."/>
    <x v="289"/>
    <n v="432"/>
    <n v="397"/>
    <n v="28759"/>
    <n v="18691"/>
    <n v="270"/>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1402"/>
    <n v="68"/>
    <n v="124562"/>
    <n v="9.92"/>
    <n v="23125"/>
    <n v="1334"/>
    <n v="1.0709526179733787E-2"/>
  </r>
  <r>
    <d v="2024-06-03T00:00:00"/>
    <x v="1"/>
    <n v="995"/>
    <n v="86"/>
    <n v="227958"/>
    <n v="8.0500000000000007"/>
    <n v="22788"/>
    <n v="909"/>
    <n v="3.9875766588582107E-3"/>
  </r>
  <r>
    <d v="2024-06-03T00:00:00"/>
    <x v="2"/>
    <n v="1472"/>
    <n v="296"/>
    <n v="370242"/>
    <n v="7.72"/>
    <n v="7810"/>
    <n v="1176"/>
    <n v="3.176300905893983E-3"/>
  </r>
  <r>
    <d v="2024-06-10T00:00:00"/>
    <x v="0"/>
    <n v="1018"/>
    <n v="90"/>
    <n v="92474"/>
    <n v="9.4"/>
    <n v="11966"/>
    <n v="928"/>
    <n v="1.0035253152237385E-2"/>
  </r>
  <r>
    <d v="2024-06-10T00:00:00"/>
    <x v="1"/>
    <n v="1461"/>
    <n v="64"/>
    <n v="328902"/>
    <n v="9.02"/>
    <n v="26298"/>
    <n v="1397"/>
    <n v="4.247465810484582E-3"/>
  </r>
  <r>
    <d v="2024-06-10T00:00:00"/>
    <x v="2"/>
    <n v="545"/>
    <n v="93"/>
    <n v="391621"/>
    <n v="9.9600000000000009"/>
    <n v="22029"/>
    <n v="452"/>
    <n v="1.1541771253329111E-3"/>
  </r>
  <r>
    <d v="2024-06-17T00:00:00"/>
    <x v="0"/>
    <n v="881"/>
    <n v="291"/>
    <n v="95885"/>
    <n v="5.29"/>
    <n v="12391"/>
    <n v="590"/>
    <n v="6.1532043593888509E-3"/>
  </r>
  <r>
    <d v="2024-06-17T00:00:00"/>
    <x v="1"/>
    <n v="1414"/>
    <n v="131"/>
    <n v="245947"/>
    <n v="8.3000000000000007"/>
    <n v="14477"/>
    <n v="1283"/>
    <n v="5.2165710498603361E-3"/>
  </r>
  <r>
    <d v="2024-06-17T00:00:00"/>
    <x v="2"/>
    <n v="1472"/>
    <n v="170"/>
    <n v="250428"/>
    <n v="4.66"/>
    <n v="25040"/>
    <n v="1302"/>
    <n v="5.1990991422684362E-3"/>
  </r>
  <r>
    <d v="2024-06-24T00:00:00"/>
    <x v="0"/>
    <n v="809"/>
    <n v="197"/>
    <n v="87186"/>
    <n v="9.48"/>
    <n v="22619"/>
    <n v="612"/>
    <n v="7.0194756038813571E-3"/>
  </r>
  <r>
    <d v="2024-06-24T00:00:00"/>
    <x v="1"/>
    <n v="1371"/>
    <n v="250"/>
    <n v="128620"/>
    <n v="7.11"/>
    <n v="12399"/>
    <n v="1121"/>
    <n v="8.7155963302752298E-3"/>
  </r>
  <r>
    <d v="2024-06-24T00:00:00"/>
    <x v="2"/>
    <n v="844"/>
    <n v="144"/>
    <n v="126015"/>
    <n v="9.65"/>
    <n v="22456"/>
    <n v="700"/>
    <n v="5.5548942586200059E-3"/>
  </r>
  <r>
    <d v="2024-07-01T00:00:00"/>
    <x v="0"/>
    <n v="786"/>
    <n v="72"/>
    <n v="178615"/>
    <n v="5.43"/>
    <n v="19328"/>
    <n v="714"/>
    <n v="3.9974246283906723E-3"/>
  </r>
  <r>
    <d v="2024-07-01T00:00:00"/>
    <x v="1"/>
    <n v="845"/>
    <n v="250"/>
    <n v="218228"/>
    <n v="4.5199999999999996"/>
    <n v="21107"/>
    <n v="595"/>
    <n v="2.7265062228494967E-3"/>
  </r>
  <r>
    <d v="2024-07-01T00:00:00"/>
    <x v="2"/>
    <n v="1218"/>
    <n v="101"/>
    <n v="300397"/>
    <n v="4.33"/>
    <n v="12277"/>
    <n v="1117"/>
    <n v="3.7184126339477423E-3"/>
  </r>
  <r>
    <d v="2024-07-08T00:00:00"/>
    <x v="0"/>
    <n v="797"/>
    <n v="130"/>
    <n v="340121"/>
    <n v="8.52"/>
    <n v="11684"/>
    <n v="667"/>
    <n v="1.9610667968164271E-3"/>
  </r>
  <r>
    <d v="2024-07-08T00:00:00"/>
    <x v="1"/>
    <n v="1471"/>
    <n v="100"/>
    <n v="76866"/>
    <n v="8.5500000000000007"/>
    <n v="14412"/>
    <n v="1371"/>
    <n v="1.7836234485988603E-2"/>
  </r>
  <r>
    <d v="2024-07-08T00:00:00"/>
    <x v="2"/>
    <n v="1253"/>
    <n v="136"/>
    <n v="193131"/>
    <n v="7.99"/>
    <n v="15924"/>
    <n v="1117"/>
    <n v="5.7836390843520723E-3"/>
  </r>
  <r>
    <d v="2024-07-15T00:00:00"/>
    <x v="0"/>
    <n v="616"/>
    <n v="257"/>
    <n v="169665"/>
    <n v="6.31"/>
    <n v="12390"/>
    <n v="359"/>
    <n v="2.1159343412017798E-3"/>
  </r>
  <r>
    <d v="2024-07-15T00:00:00"/>
    <x v="1"/>
    <n v="1308"/>
    <n v="210"/>
    <n v="263729"/>
    <n v="8.5299999999999994"/>
    <n v="25742"/>
    <n v="1098"/>
    <n v="4.1633646660018432E-3"/>
  </r>
  <r>
    <d v="2024-07-15T00:00:00"/>
    <x v="2"/>
    <n v="981"/>
    <n v="69"/>
    <n v="206921"/>
    <n v="8.42"/>
    <n v="10495"/>
    <n v="912"/>
    <n v="4.4074791828765565E-3"/>
  </r>
  <r>
    <d v="2024-07-22T00:00:00"/>
    <x v="0"/>
    <n v="866"/>
    <n v="74"/>
    <n v="204121"/>
    <n v="9.34"/>
    <n v="7797"/>
    <n v="792"/>
    <n v="3.8800515380583087E-3"/>
  </r>
  <r>
    <d v="2024-07-22T00:00:00"/>
    <x v="1"/>
    <n v="547"/>
    <n v="183"/>
    <n v="266350"/>
    <n v="5.65"/>
    <n v="15595"/>
    <n v="364"/>
    <n v="1.3666228646517741E-3"/>
  </r>
  <r>
    <d v="2024-07-22T00:00:00"/>
    <x v="2"/>
    <n v="1241"/>
    <n v="116"/>
    <n v="380606"/>
    <n v="4.2"/>
    <n v="24617"/>
    <n v="1125"/>
    <n v="2.9558125725816196E-3"/>
  </r>
  <r>
    <d v="2024-07-29T00:00:00"/>
    <x v="0"/>
    <n v="973"/>
    <n v="104"/>
    <n v="376358"/>
    <n v="3.87"/>
    <n v="9847"/>
    <n v="869"/>
    <n v="2.3089717768720206E-3"/>
  </r>
  <r>
    <d v="2024-07-29T00:00:00"/>
    <x v="1"/>
    <n v="611"/>
    <n v="197"/>
    <n v="79423"/>
    <n v="5.82"/>
    <n v="13644"/>
    <n v="414"/>
    <n v="5.2125958475504573E-3"/>
  </r>
  <r>
    <d v="2024-07-29T00:00:00"/>
    <x v="2"/>
    <n v="983"/>
    <n v="134"/>
    <n v="352178"/>
    <n v="3.55"/>
    <n v="11421"/>
    <n v="849"/>
    <n v="2.4107127645679174E-3"/>
  </r>
  <r>
    <d v="2024-08-05T00:00:00"/>
    <x v="0"/>
    <n v="1449"/>
    <n v="96"/>
    <n v="200636"/>
    <n v="9.92"/>
    <n v="15613"/>
    <n v="1353"/>
    <n v="6.7435554935305723E-3"/>
  </r>
  <r>
    <d v="2024-08-05T00:00:00"/>
    <x v="1"/>
    <n v="752"/>
    <n v="170"/>
    <n v="132756"/>
    <n v="8.17"/>
    <n v="23900"/>
    <n v="582"/>
    <n v="4.3839826448522105E-3"/>
  </r>
  <r>
    <d v="2024-08-05T00:00:00"/>
    <x v="2"/>
    <n v="937"/>
    <n v="179"/>
    <n v="318098"/>
    <n v="5.3"/>
    <n v="5836"/>
    <n v="758"/>
    <n v="2.3829134417695176E-3"/>
  </r>
  <r>
    <d v="2024-08-12T00:00:00"/>
    <x v="0"/>
    <n v="1060"/>
    <n v="83"/>
    <n v="68724"/>
    <n v="5.98"/>
    <n v="5624"/>
    <n v="977"/>
    <n v="1.4216285431581398E-2"/>
  </r>
  <r>
    <d v="2024-08-12T00:00:00"/>
    <x v="1"/>
    <n v="1456"/>
    <n v="265"/>
    <n v="115505"/>
    <n v="7.49"/>
    <n v="10311"/>
    <n v="1191"/>
    <n v="1.031124193757846E-2"/>
  </r>
  <r>
    <d v="2024-08-12T00:00:00"/>
    <x v="2"/>
    <n v="1109"/>
    <n v="205"/>
    <n v="276722"/>
    <n v="9.3800000000000008"/>
    <n v="8274"/>
    <n v="904"/>
    <n v="3.2668165162148292E-3"/>
  </r>
  <r>
    <d v="2024-08-19T00:00:00"/>
    <x v="0"/>
    <n v="1002"/>
    <n v="93"/>
    <n v="353538"/>
    <n v="5.84"/>
    <n v="6031"/>
    <n v="909"/>
    <n v="2.5711521816608116E-3"/>
  </r>
  <r>
    <d v="2024-08-19T00:00:00"/>
    <x v="1"/>
    <n v="571"/>
    <n v="189"/>
    <n v="61445"/>
    <n v="5.41"/>
    <n v="27829"/>
    <n v="382"/>
    <n v="6.2169419806330862E-3"/>
  </r>
  <r>
    <d v="2024-08-19T00:00:00"/>
    <x v="2"/>
    <n v="1240"/>
    <n v="231"/>
    <n v="165035"/>
    <n v="6.05"/>
    <n v="18267"/>
    <n v="1009"/>
    <n v="6.1138546368952043E-3"/>
  </r>
  <r>
    <d v="2024-08-26T00:00:00"/>
    <x v="0"/>
    <n v="1154"/>
    <n v="132"/>
    <n v="194595"/>
    <n v="7.54"/>
    <n v="26624"/>
    <n v="1022"/>
    <n v="5.2519335029163131E-3"/>
  </r>
  <r>
    <d v="2024-08-26T00:00:00"/>
    <x v="1"/>
    <n v="537"/>
    <n v="275"/>
    <n v="236238"/>
    <n v="5.87"/>
    <n v="26644"/>
    <n v="262"/>
    <n v="1.1090510417460359E-3"/>
  </r>
  <r>
    <d v="2024-08-26T00:00:00"/>
    <x v="2"/>
    <n v="1456"/>
    <n v="290"/>
    <n v="271044"/>
    <n v="7.17"/>
    <n v="13051"/>
    <n v="1166"/>
    <n v="4.3018845648676966E-3"/>
  </r>
  <r>
    <d v="2024-09-02T00:00:00"/>
    <x v="0"/>
    <n v="721"/>
    <n v="206"/>
    <n v="334887"/>
    <n v="6.05"/>
    <n v="14217"/>
    <n v="515"/>
    <n v="1.5378321642822803E-3"/>
  </r>
  <r>
    <d v="2024-09-02T00:00:00"/>
    <x v="1"/>
    <n v="1098"/>
    <n v="142"/>
    <n v="359150"/>
    <n v="7.51"/>
    <n v="16385"/>
    <n v="956"/>
    <n v="2.6618404566337186E-3"/>
  </r>
  <r>
    <d v="2024-09-02T00:00:00"/>
    <x v="2"/>
    <n v="1096"/>
    <n v="65"/>
    <n v="358295"/>
    <n v="7.66"/>
    <n v="24548"/>
    <n v="1031"/>
    <n v="2.8775171297394605E-3"/>
  </r>
  <r>
    <d v="2024-09-09T00:00:00"/>
    <x v="0"/>
    <n v="912"/>
    <n v="275"/>
    <n v="368454"/>
    <n v="6.03"/>
    <n v="9195"/>
    <n v="637"/>
    <n v="1.7288453918263881E-3"/>
  </r>
  <r>
    <d v="2024-09-09T00:00:00"/>
    <x v="1"/>
    <n v="1430"/>
    <n v="162"/>
    <n v="269082"/>
    <n v="3.4"/>
    <n v="18071"/>
    <n v="1268"/>
    <n v="4.7123181781018424E-3"/>
  </r>
  <r>
    <d v="2024-09-09T00:00:00"/>
    <x v="2"/>
    <n v="854"/>
    <n v="129"/>
    <n v="310903"/>
    <n v="7.83"/>
    <n v="16875"/>
    <n v="725"/>
    <n v="2.3319170287838973E-3"/>
  </r>
  <r>
    <d v="2024-09-16T00:00:00"/>
    <x v="0"/>
    <n v="681"/>
    <n v="210"/>
    <n v="248581"/>
    <n v="8.76"/>
    <n v="9567"/>
    <n v="471"/>
    <n v="1.8947546272643525E-3"/>
  </r>
  <r>
    <d v="2024-09-16T00:00:00"/>
    <x v="1"/>
    <n v="1373"/>
    <n v="82"/>
    <n v="371015"/>
    <n v="9.52"/>
    <n v="20306"/>
    <n v="1291"/>
    <n v="3.4796436801746559E-3"/>
  </r>
  <r>
    <d v="2024-09-16T00:00:00"/>
    <x v="2"/>
    <n v="685"/>
    <n v="285"/>
    <n v="177452"/>
    <n v="3.36"/>
    <n v="21134"/>
    <n v="400"/>
    <n v="2.2541306944976669E-3"/>
  </r>
  <r>
    <d v="2024-09-23T00:00:00"/>
    <x v="0"/>
    <n v="1290"/>
    <n v="177"/>
    <n v="80745"/>
    <n v="9.2200000000000006"/>
    <n v="26872"/>
    <n v="1113"/>
    <n v="1.3784135240572171E-2"/>
  </r>
  <r>
    <d v="2024-09-23T00:00:00"/>
    <x v="1"/>
    <n v="1437"/>
    <n v="239"/>
    <n v="362441"/>
    <n v="5.57"/>
    <n v="10253"/>
    <n v="1198"/>
    <n v="3.305365562946797E-3"/>
  </r>
  <r>
    <d v="2024-09-23T00:00:00"/>
    <x v="2"/>
    <n v="769"/>
    <n v="295"/>
    <n v="344771"/>
    <n v="8.06"/>
    <n v="23963"/>
    <n v="474"/>
    <n v="1.3748256088824177E-3"/>
  </r>
  <r>
    <d v="2024-09-30T00:00:00"/>
    <x v="0"/>
    <n v="1416"/>
    <n v="284"/>
    <n v="374952"/>
    <n v="3.45"/>
    <n v="11335"/>
    <n v="1132"/>
    <n v="3.0190531054641659E-3"/>
  </r>
  <r>
    <d v="2024-09-30T00:00:00"/>
    <x v="1"/>
    <n v="998"/>
    <n v="154"/>
    <n v="179781"/>
    <n v="9.58"/>
    <n v="12115"/>
    <n v="844"/>
    <n v="4.6946006530167259E-3"/>
  </r>
  <r>
    <d v="2024-09-30T00:00:00"/>
    <x v="2"/>
    <n v="1421"/>
    <n v="246"/>
    <n v="358581"/>
    <n v="8.8800000000000008"/>
    <n v="24358"/>
    <n v="1175"/>
    <n v="3.2768049617799048E-3"/>
  </r>
  <r>
    <d v="2024-10-07T00:00:00"/>
    <x v="0"/>
    <n v="764"/>
    <n v="205"/>
    <n v="319294"/>
    <n v="6.23"/>
    <n v="12181"/>
    <n v="559"/>
    <n v="1.7507375647522346E-3"/>
  </r>
  <r>
    <d v="2024-10-07T00:00:00"/>
    <x v="1"/>
    <n v="678"/>
    <n v="124"/>
    <n v="192022"/>
    <n v="8.4499999999999993"/>
    <n v="17729"/>
    <n v="554"/>
    <n v="2.8850860838862216E-3"/>
  </r>
  <r>
    <d v="2024-10-07T00:00:00"/>
    <x v="2"/>
    <n v="1328"/>
    <n v="103"/>
    <n v="151462"/>
    <n v="8.4"/>
    <n v="10881"/>
    <n v="1225"/>
    <n v="8.0878372132944243E-3"/>
  </r>
  <r>
    <d v="2024-10-14T00:00:00"/>
    <x v="0"/>
    <n v="1161"/>
    <n v="269"/>
    <n v="188193"/>
    <n v="7.34"/>
    <n v="18576"/>
    <n v="892"/>
    <n v="4.7398149771776844E-3"/>
  </r>
  <r>
    <d v="2024-10-14T00:00:00"/>
    <x v="1"/>
    <n v="588"/>
    <n v="52"/>
    <n v="292040"/>
    <n v="8.14"/>
    <n v="9383"/>
    <n v="536"/>
    <n v="1.8353650184906177E-3"/>
  </r>
  <r>
    <d v="2024-10-14T00:00:00"/>
    <x v="2"/>
    <n v="1457"/>
    <n v="215"/>
    <n v="325325"/>
    <n v="9.58"/>
    <n v="14178"/>
    <n v="1242"/>
    <n v="3.8177207407976638E-3"/>
  </r>
  <r>
    <d v="2024-10-21T00:00:00"/>
    <x v="0"/>
    <n v="1190"/>
    <n v="242"/>
    <n v="86849"/>
    <n v="8.06"/>
    <n v="21254"/>
    <n v="948"/>
    <n v="1.0915497012055407E-2"/>
  </r>
  <r>
    <d v="2024-10-21T00:00:00"/>
    <x v="1"/>
    <n v="886"/>
    <n v="124"/>
    <n v="141161"/>
    <n v="8.19"/>
    <n v="14215"/>
    <n v="762"/>
    <n v="5.3980915408646862E-3"/>
  </r>
  <r>
    <d v="2024-10-21T00:00:00"/>
    <x v="2"/>
    <n v="1237"/>
    <n v="155"/>
    <n v="149916"/>
    <n v="4.4800000000000004"/>
    <n v="16921"/>
    <n v="1082"/>
    <n v="7.2173750633688196E-3"/>
  </r>
  <r>
    <d v="2024-10-28T00:00:00"/>
    <x v="0"/>
    <n v="1435"/>
    <n v="261"/>
    <n v="308533"/>
    <n v="4.5199999999999996"/>
    <n v="25130"/>
    <n v="1174"/>
    <n v="3.8051035059458792E-3"/>
  </r>
  <r>
    <d v="2024-10-28T00:00:00"/>
    <x v="1"/>
    <n v="746"/>
    <n v="282"/>
    <n v="293894"/>
    <n v="5.42"/>
    <n v="25537"/>
    <n v="464"/>
    <n v="1.5788005199153436E-3"/>
  </r>
  <r>
    <d v="2024-10-28T00:00:00"/>
    <x v="2"/>
    <n v="759"/>
    <n v="216"/>
    <n v="147656"/>
    <n v="4.08"/>
    <n v="24943"/>
    <n v="543"/>
    <n v="3.6774665438586984E-3"/>
  </r>
  <r>
    <d v="2024-11-04T00:00:00"/>
    <x v="0"/>
    <n v="1437"/>
    <n v="235"/>
    <n v="326791"/>
    <n v="4.0599999999999996"/>
    <n v="14563"/>
    <n v="1202"/>
    <n v="3.6781918718691762E-3"/>
  </r>
  <r>
    <d v="2024-11-04T00:00:00"/>
    <x v="1"/>
    <n v="1463"/>
    <n v="73"/>
    <n v="348877"/>
    <n v="9.91"/>
    <n v="26273"/>
    <n v="1390"/>
    <n v="3.9842122008616216E-3"/>
  </r>
  <r>
    <d v="2024-11-04T00:00:00"/>
    <x v="2"/>
    <n v="1208"/>
    <n v="224"/>
    <n v="122730"/>
    <n v="8.7200000000000006"/>
    <n v="10858"/>
    <n v="984"/>
    <n v="8.0175996088975802E-3"/>
  </r>
  <r>
    <d v="2024-11-11T00:00:00"/>
    <x v="0"/>
    <n v="1391"/>
    <n v="187"/>
    <n v="306508"/>
    <n v="8.3800000000000008"/>
    <n v="25038"/>
    <n v="1204"/>
    <n v="3.9281193313061976E-3"/>
  </r>
  <r>
    <d v="2024-11-11T00:00:00"/>
    <x v="1"/>
    <n v="655"/>
    <n v="123"/>
    <n v="202472"/>
    <n v="7.56"/>
    <n v="9092"/>
    <n v="532"/>
    <n v="2.6275238057607967E-3"/>
  </r>
  <r>
    <d v="2024-11-11T00:00:00"/>
    <x v="2"/>
    <n v="1148"/>
    <n v="90"/>
    <n v="227249"/>
    <n v="7.24"/>
    <n v="17662"/>
    <n v="1058"/>
    <n v="4.6556860536239985E-3"/>
  </r>
  <r>
    <d v="2024-11-18T00:00:00"/>
    <x v="0"/>
    <n v="946"/>
    <n v="270"/>
    <n v="246567"/>
    <n v="4.53"/>
    <n v="5924"/>
    <n v="676"/>
    <n v="2.741648314656868E-3"/>
  </r>
  <r>
    <d v="2024-11-18T00:00:00"/>
    <x v="1"/>
    <n v="791"/>
    <n v="214"/>
    <n v="114738"/>
    <n v="6.62"/>
    <n v="25347"/>
    <n v="577"/>
    <n v="5.0288483327232481E-3"/>
  </r>
  <r>
    <d v="2024-11-18T00:00:00"/>
    <x v="2"/>
    <n v="793"/>
    <n v="111"/>
    <n v="333500"/>
    <n v="6.36"/>
    <n v="8910"/>
    <n v="682"/>
    <n v="2.0449775112443779E-3"/>
  </r>
  <r>
    <d v="2024-11-25T00:00:00"/>
    <x v="0"/>
    <n v="663"/>
    <n v="213"/>
    <n v="352677"/>
    <n v="9"/>
    <n v="20438"/>
    <n v="450"/>
    <n v="1.2759550523566889E-3"/>
  </r>
  <r>
    <d v="2024-11-25T00:00:00"/>
    <x v="1"/>
    <n v="954"/>
    <n v="271"/>
    <n v="160936"/>
    <n v="8.83"/>
    <n v="8760"/>
    <n v="683"/>
    <n v="4.2439230501565839E-3"/>
  </r>
  <r>
    <d v="2024-11-25T00:00:00"/>
    <x v="2"/>
    <n v="1313"/>
    <n v="159"/>
    <n v="197183"/>
    <n v="9.7100000000000009"/>
    <n v="6625"/>
    <n v="1154"/>
    <n v="5.8524314976443207E-3"/>
  </r>
  <r>
    <d v="2024-12-02T00:00:00"/>
    <x v="0"/>
    <n v="895"/>
    <n v="87"/>
    <n v="171271"/>
    <n v="6.68"/>
    <n v="23329"/>
    <n v="808"/>
    <n v="4.7176696580273365E-3"/>
  </r>
  <r>
    <d v="2024-12-02T00:00:00"/>
    <x v="1"/>
    <n v="1027"/>
    <n v="156"/>
    <n v="111293"/>
    <n v="5.51"/>
    <n v="7299"/>
    <n v="871"/>
    <n v="7.8261885293774095E-3"/>
  </r>
  <r>
    <d v="2024-12-02T00:00:00"/>
    <x v="2"/>
    <n v="990"/>
    <n v="286"/>
    <n v="351493"/>
    <n v="7.97"/>
    <n v="14496"/>
    <n v="704"/>
    <n v="2.0028848369668811E-3"/>
  </r>
  <r>
    <d v="2024-12-09T00:00:00"/>
    <x v="0"/>
    <n v="875"/>
    <n v="264"/>
    <n v="345631"/>
    <n v="9.18"/>
    <n v="25703"/>
    <n v="611"/>
    <n v="1.7677812464738406E-3"/>
  </r>
  <r>
    <d v="2024-12-09T00:00:00"/>
    <x v="1"/>
    <n v="599"/>
    <n v="194"/>
    <n v="105622"/>
    <n v="6.44"/>
    <n v="15108"/>
    <n v="405"/>
    <n v="3.8344284334702996E-3"/>
  </r>
  <r>
    <d v="2024-12-09T00:00:00"/>
    <x v="2"/>
    <n v="630"/>
    <n v="248"/>
    <n v="119054"/>
    <n v="5.0199999999999996"/>
    <n v="18867"/>
    <n v="382"/>
    <n v="3.2086280175382597E-3"/>
  </r>
  <r>
    <d v="2024-12-16T00:00:00"/>
    <x v="0"/>
    <n v="1350"/>
    <n v="233"/>
    <n v="171670"/>
    <n v="4.53"/>
    <n v="17574"/>
    <n v="1117"/>
    <n v="6.506669773402458E-3"/>
  </r>
  <r>
    <d v="2024-12-16T00:00:00"/>
    <x v="1"/>
    <n v="632"/>
    <n v="155"/>
    <n v="170432"/>
    <n v="9.17"/>
    <n v="12840"/>
    <n v="477"/>
    <n v="2.7987701840030041E-3"/>
  </r>
  <r>
    <d v="2024-12-16T00:00:00"/>
    <x v="2"/>
    <n v="1182"/>
    <n v="83"/>
    <n v="140300"/>
    <n v="3.27"/>
    <n v="21079"/>
    <n v="1099"/>
    <n v="7.8332145402708487E-3"/>
  </r>
  <r>
    <d v="2024-12-23T00:00:00"/>
    <x v="0"/>
    <n v="661"/>
    <n v="94"/>
    <n v="116538"/>
    <n v="5.31"/>
    <n v="23486"/>
    <n v="567"/>
    <n v="4.8653658034289241E-3"/>
  </r>
  <r>
    <d v="2024-12-23T00:00:00"/>
    <x v="1"/>
    <n v="1360"/>
    <n v="227"/>
    <n v="176902"/>
    <n v="6.03"/>
    <n v="5960"/>
    <n v="1133"/>
    <n v="6.4046760353189906E-3"/>
  </r>
  <r>
    <d v="2024-12-23T00:00:00"/>
    <x v="2"/>
    <n v="935"/>
    <n v="85"/>
    <n v="326821"/>
    <n v="8.89"/>
    <n v="13301"/>
    <n v="850"/>
    <n v="2.60081206532016E-3"/>
  </r>
  <r>
    <d v="2024-12-30T00:00:00"/>
    <x v="0"/>
    <n v="664"/>
    <n v="251"/>
    <n v="240598"/>
    <n v="4.79"/>
    <n v="10563"/>
    <n v="413"/>
    <n v="1.7165562473503519E-3"/>
  </r>
  <r>
    <d v="2024-12-30T00:00:00"/>
    <x v="1"/>
    <n v="1490"/>
    <n v="103"/>
    <n v="373274"/>
    <n v="4.8"/>
    <n v="19949"/>
    <n v="1387"/>
    <n v="3.7157691133055076E-3"/>
  </r>
  <r>
    <d v="2024-12-30T00:00:00"/>
    <x v="2"/>
    <n v="601"/>
    <n v="64"/>
    <n v="123272"/>
    <n v="4.07"/>
    <n v="14273"/>
    <n v="537"/>
    <n v="4.3562203906807708E-3"/>
  </r>
  <r>
    <d v="2025-01-06T00:00:00"/>
    <x v="0"/>
    <n v="613"/>
    <n v="170"/>
    <n v="139266"/>
    <n v="6.06"/>
    <n v="9247"/>
    <n v="443"/>
    <n v="3.1809630491290049E-3"/>
  </r>
  <r>
    <d v="2025-01-06T00:00:00"/>
    <x v="1"/>
    <n v="1340"/>
    <n v="57"/>
    <n v="155927"/>
    <n v="7.79"/>
    <n v="11972"/>
    <n v="1283"/>
    <n v="8.2282093543773697E-3"/>
  </r>
  <r>
    <d v="2025-01-06T00:00:00"/>
    <x v="2"/>
    <n v="953"/>
    <n v="228"/>
    <n v="258398"/>
    <n v="9.0500000000000007"/>
    <n v="13314"/>
    <n v="725"/>
    <n v="2.8057492705051896E-3"/>
  </r>
  <r>
    <d v="2025-01-13T00:00:00"/>
    <x v="0"/>
    <n v="532"/>
    <n v="65"/>
    <n v="338561"/>
    <n v="3.5"/>
    <n v="14749"/>
    <n v="467"/>
    <n v="1.3793673813581599E-3"/>
  </r>
  <r>
    <d v="2025-01-13T00:00:00"/>
    <x v="1"/>
    <n v="1414"/>
    <n v="60"/>
    <n v="341856"/>
    <n v="8.76"/>
    <n v="6868"/>
    <n v="1354"/>
    <n v="3.960732004118693E-3"/>
  </r>
  <r>
    <d v="2025-01-13T00:00:00"/>
    <x v="2"/>
    <n v="685"/>
    <n v="165"/>
    <n v="175860"/>
    <n v="6.26"/>
    <n v="6027"/>
    <n v="520"/>
    <n v="2.9568975321278288E-3"/>
  </r>
  <r>
    <d v="2025-01-20T00:00:00"/>
    <x v="0"/>
    <n v="601"/>
    <n v="159"/>
    <n v="327722"/>
    <n v="3.33"/>
    <n v="25267"/>
    <n v="442"/>
    <n v="1.3487040845594743E-3"/>
  </r>
  <r>
    <d v="2025-01-20T00:00:00"/>
    <x v="1"/>
    <n v="841"/>
    <n v="295"/>
    <n v="271638"/>
    <n v="9.15"/>
    <n v="5900"/>
    <n v="546"/>
    <n v="2.0100280520398473E-3"/>
  </r>
  <r>
    <d v="2025-01-20T00:00:00"/>
    <x v="2"/>
    <n v="1105"/>
    <n v="261"/>
    <n v="333851"/>
    <n v="6.03"/>
    <n v="11181"/>
    <n v="844"/>
    <n v="2.5280739012313877E-3"/>
  </r>
  <r>
    <d v="2025-01-27T00:00:00"/>
    <x v="0"/>
    <n v="566"/>
    <n v="225"/>
    <n v="368984"/>
    <n v="9.82"/>
    <n v="9592"/>
    <n v="341"/>
    <n v="9.2415931314094918E-4"/>
  </r>
  <r>
    <d v="2025-01-27T00:00:00"/>
    <x v="1"/>
    <n v="1149"/>
    <n v="280"/>
    <n v="167310"/>
    <n v="3.7"/>
    <n v="5291"/>
    <n v="869"/>
    <n v="5.1939513477975013E-3"/>
  </r>
  <r>
    <d v="2025-01-27T00:00:00"/>
    <x v="2"/>
    <n v="819"/>
    <n v="101"/>
    <n v="194811"/>
    <n v="3.35"/>
    <n v="22244"/>
    <n v="718"/>
    <n v="3.685623501752981E-3"/>
  </r>
  <r>
    <d v="2025-02-03T00:00:00"/>
    <x v="0"/>
    <n v="795"/>
    <n v="60"/>
    <n v="314982"/>
    <n v="7.31"/>
    <n v="6824"/>
    <n v="735"/>
    <n v="2.3334666742861497E-3"/>
  </r>
  <r>
    <d v="2025-02-03T00:00:00"/>
    <x v="1"/>
    <n v="681"/>
    <n v="158"/>
    <n v="75960"/>
    <n v="3.13"/>
    <n v="24112"/>
    <n v="523"/>
    <n v="6.8852027382833069E-3"/>
  </r>
  <r>
    <d v="2025-02-03T00:00:00"/>
    <x v="2"/>
    <n v="534"/>
    <n v="112"/>
    <n v="360759"/>
    <n v="4.8899999999999997"/>
    <n v="25478"/>
    <n v="422"/>
    <n v="1.1697559866836308E-3"/>
  </r>
  <r>
    <d v="2025-02-10T00:00:00"/>
    <x v="0"/>
    <n v="1066"/>
    <n v="151"/>
    <n v="297090"/>
    <n v="8.6300000000000008"/>
    <n v="11235"/>
    <n v="915"/>
    <n v="3.0798747854185599E-3"/>
  </r>
  <r>
    <d v="2025-02-10T00:00:00"/>
    <x v="1"/>
    <n v="1270"/>
    <n v="162"/>
    <n v="92040"/>
    <n v="8.0299999999999994"/>
    <n v="6120"/>
    <n v="1108"/>
    <n v="1.2038244241634072E-2"/>
  </r>
  <r>
    <d v="2025-02-10T00:00:00"/>
    <x v="2"/>
    <n v="536"/>
    <n v="198"/>
    <n v="174610"/>
    <n v="7.85"/>
    <n v="20572"/>
    <n v="338"/>
    <n v="1.9357425118836263E-3"/>
  </r>
  <r>
    <d v="2025-02-17T00:00:00"/>
    <x v="0"/>
    <n v="819"/>
    <n v="95"/>
    <n v="177376"/>
    <n v="6.12"/>
    <n v="14975"/>
    <n v="724"/>
    <n v="4.0817246978170664E-3"/>
  </r>
  <r>
    <d v="2025-02-17T00:00:00"/>
    <x v="1"/>
    <n v="681"/>
    <n v="218"/>
    <n v="198882"/>
    <n v="7.16"/>
    <n v="22234"/>
    <n v="463"/>
    <n v="2.3280135960016494E-3"/>
  </r>
  <r>
    <d v="2025-02-17T00:00:00"/>
    <x v="2"/>
    <n v="646"/>
    <n v="290"/>
    <n v="336383"/>
    <n v="7.04"/>
    <n v="6532"/>
    <n v="356"/>
    <n v="1.0583174536168594E-3"/>
  </r>
  <r>
    <d v="2025-02-24T00:00:00"/>
    <x v="0"/>
    <n v="645"/>
    <n v="267"/>
    <n v="346890"/>
    <n v="3.71"/>
    <n v="24858"/>
    <n v="378"/>
    <n v="1.0896826083196401E-3"/>
  </r>
  <r>
    <d v="2025-02-24T00:00:00"/>
    <x v="1"/>
    <n v="886"/>
    <n v="250"/>
    <n v="168170"/>
    <n v="4.12"/>
    <n v="13883"/>
    <n v="636"/>
    <n v="3.7818873758696555E-3"/>
  </r>
  <r>
    <d v="2025-02-24T00:00:00"/>
    <x v="2"/>
    <n v="978"/>
    <n v="279"/>
    <n v="368872"/>
    <n v="6.82"/>
    <n v="18654"/>
    <n v="699"/>
    <n v="1.8949662755644234E-3"/>
  </r>
  <r>
    <d v="2025-03-03T00:00:00"/>
    <x v="0"/>
    <n v="1444"/>
    <n v="165"/>
    <n v="116436"/>
    <n v="8.2200000000000006"/>
    <n v="25234"/>
    <n v="1279"/>
    <n v="1.0984575217286749E-2"/>
  </r>
  <r>
    <d v="2025-03-03T00:00:00"/>
    <x v="1"/>
    <n v="1234"/>
    <n v="228"/>
    <n v="127502"/>
    <n v="7.71"/>
    <n v="6772"/>
    <n v="1006"/>
    <n v="7.8900723125911749E-3"/>
  </r>
  <r>
    <d v="2025-03-03T00:00:00"/>
    <x v="2"/>
    <n v="665"/>
    <n v="187"/>
    <n v="274567"/>
    <n v="7.39"/>
    <n v="22428"/>
    <n v="478"/>
    <n v="1.7409229805475531E-3"/>
  </r>
  <r>
    <d v="2025-03-10T00:00:00"/>
    <x v="0"/>
    <n v="631"/>
    <n v="86"/>
    <n v="295090"/>
    <n v="7.89"/>
    <n v="11911"/>
    <n v="545"/>
    <n v="1.8468941678809856E-3"/>
  </r>
  <r>
    <d v="2025-03-10T00:00:00"/>
    <x v="1"/>
    <n v="1159"/>
    <n v="154"/>
    <n v="194994"/>
    <n v="6.39"/>
    <n v="21900"/>
    <n v="1005"/>
    <n v="5.1540047386073422E-3"/>
  </r>
  <r>
    <d v="2025-03-10T00:00:00"/>
    <x v="2"/>
    <n v="950"/>
    <n v="185"/>
    <n v="340750"/>
    <n v="6.77"/>
    <n v="25542"/>
    <n v="765"/>
    <n v="2.2450476889214967E-3"/>
  </r>
  <r>
    <d v="2025-03-17T00:00:00"/>
    <x v="0"/>
    <n v="693"/>
    <n v="129"/>
    <n v="296031"/>
    <n v="3.41"/>
    <n v="7140"/>
    <n v="564"/>
    <n v="1.9052058737091724E-3"/>
  </r>
  <r>
    <d v="2025-03-17T00:00:00"/>
    <x v="1"/>
    <n v="576"/>
    <n v="80"/>
    <n v="345688"/>
    <n v="4.1100000000000003"/>
    <n v="20474"/>
    <n v="496"/>
    <n v="1.4348198375413667E-3"/>
  </r>
  <r>
    <d v="2025-03-17T00:00:00"/>
    <x v="2"/>
    <n v="1274"/>
    <n v="146"/>
    <n v="263488"/>
    <n v="9.58"/>
    <n v="8698"/>
    <n v="1128"/>
    <n v="4.2810298761233904E-3"/>
  </r>
  <r>
    <d v="2025-03-24T00:00:00"/>
    <x v="0"/>
    <n v="818"/>
    <n v="253"/>
    <n v="184911"/>
    <n v="3.39"/>
    <n v="10402"/>
    <n v="565"/>
    <n v="3.0555240088474996E-3"/>
  </r>
  <r>
    <d v="2025-03-24T00:00:00"/>
    <x v="1"/>
    <n v="975"/>
    <n v="162"/>
    <n v="124497"/>
    <n v="9.58"/>
    <n v="26618"/>
    <n v="813"/>
    <n v="6.5302778380201933E-3"/>
  </r>
  <r>
    <d v="2025-03-24T00:00:00"/>
    <x v="2"/>
    <n v="1398"/>
    <n v="97"/>
    <n v="397607"/>
    <n v="5.09"/>
    <n v="7975"/>
    <n v="1301"/>
    <n v="3.2720751898231166E-3"/>
  </r>
  <r>
    <d v="2025-03-31T00:00:00"/>
    <x v="0"/>
    <n v="591"/>
    <n v="155"/>
    <n v="138521"/>
    <n v="7.85"/>
    <n v="19054"/>
    <n v="436"/>
    <n v="3.1475371965261584E-3"/>
  </r>
  <r>
    <d v="2025-03-31T00:00:00"/>
    <x v="1"/>
    <n v="1232"/>
    <n v="254"/>
    <n v="107718"/>
    <n v="9.7100000000000009"/>
    <n v="13740"/>
    <n v="978"/>
    <n v="9.0792625187990864E-3"/>
  </r>
  <r>
    <d v="2025-03-31T00:00:00"/>
    <x v="2"/>
    <n v="1425"/>
    <n v="58"/>
    <n v="202234"/>
    <n v="6.67"/>
    <n v="18442"/>
    <n v="1367"/>
    <n v="6.7594964249334932E-3"/>
  </r>
  <r>
    <d v="2025-04-07T00:00:00"/>
    <x v="0"/>
    <n v="1417"/>
    <n v="80"/>
    <n v="340987"/>
    <n v="6.13"/>
    <n v="10104"/>
    <n v="1337"/>
    <n v="3.9209705941868752E-3"/>
  </r>
  <r>
    <d v="2025-04-07T00:00:00"/>
    <x v="1"/>
    <n v="1222"/>
    <n v="208"/>
    <n v="340098"/>
    <n v="7.34"/>
    <n v="21771"/>
    <n v="1014"/>
    <n v="2.9814935695005556E-3"/>
  </r>
  <r>
    <d v="2025-04-07T00:00:00"/>
    <x v="2"/>
    <n v="1071"/>
    <n v="131"/>
    <n v="254727"/>
    <n v="6.87"/>
    <n v="22191"/>
    <n v="940"/>
    <n v="3.6902252215116576E-3"/>
  </r>
  <r>
    <d v="2025-04-14T00:00:00"/>
    <x v="0"/>
    <n v="772"/>
    <n v="82"/>
    <n v="345659"/>
    <n v="3.52"/>
    <n v="27753"/>
    <n v="690"/>
    <n v="1.9961869935398759E-3"/>
  </r>
  <r>
    <d v="2025-04-14T00:00:00"/>
    <x v="1"/>
    <n v="1472"/>
    <n v="137"/>
    <n v="213950"/>
    <n v="6.96"/>
    <n v="23736"/>
    <n v="1335"/>
    <n v="6.2397756485160086E-3"/>
  </r>
  <r>
    <d v="2025-04-14T00:00:00"/>
    <x v="2"/>
    <n v="1472"/>
    <n v="281"/>
    <n v="258115"/>
    <n v="7.23"/>
    <n v="27393"/>
    <n v="1191"/>
    <n v="4.6142223427541986E-3"/>
  </r>
  <r>
    <d v="2025-04-21T00:00:00"/>
    <x v="0"/>
    <n v="585"/>
    <n v="232"/>
    <n v="321258"/>
    <n v="7.42"/>
    <n v="10343"/>
    <n v="353"/>
    <n v="1.0988053215795403E-3"/>
  </r>
  <r>
    <d v="2025-04-21T00:00:00"/>
    <x v="1"/>
    <n v="747"/>
    <n v="261"/>
    <n v="338650"/>
    <n v="7.73"/>
    <n v="25259"/>
    <n v="486"/>
    <n v="1.4351099955706482E-3"/>
  </r>
  <r>
    <d v="2025-04-21T00:00:00"/>
    <x v="2"/>
    <n v="1113"/>
    <n v="224"/>
    <n v="272989"/>
    <n v="5.13"/>
    <n v="24827"/>
    <n v="889"/>
    <n v="3.2565414723670183E-3"/>
  </r>
  <r>
    <d v="2025-04-28T00:00:00"/>
    <x v="0"/>
    <n v="1100"/>
    <n v="117"/>
    <n v="260204"/>
    <n v="4.4000000000000004"/>
    <n v="11908"/>
    <n v="983"/>
    <n v="3.7778051067623862E-3"/>
  </r>
  <r>
    <d v="2025-04-28T00:00:00"/>
    <x v="1"/>
    <n v="751"/>
    <n v="170"/>
    <n v="283278"/>
    <n v="3.49"/>
    <n v="11005"/>
    <n v="581"/>
    <n v="2.0509887813384732E-3"/>
  </r>
  <r>
    <d v="2025-04-28T00:00:00"/>
    <x v="2"/>
    <n v="864"/>
    <n v="50"/>
    <n v="277445"/>
    <n v="3.57"/>
    <n v="26333"/>
    <n v="814"/>
    <n v="2.9339148299662998E-3"/>
  </r>
  <r>
    <d v="2025-05-05T00:00:00"/>
    <x v="0"/>
    <n v="1146"/>
    <n v="227"/>
    <n v="353781"/>
    <n v="6.41"/>
    <n v="5495"/>
    <n v="919"/>
    <n v="2.5976522198761379E-3"/>
  </r>
  <r>
    <d v="2025-05-05T00:00:00"/>
    <x v="1"/>
    <n v="883"/>
    <n v="207"/>
    <n v="265019"/>
    <n v="6.04"/>
    <n v="15655"/>
    <n v="676"/>
    <n v="2.5507605115104954E-3"/>
  </r>
  <r>
    <d v="2025-05-05T00:00:00"/>
    <x v="2"/>
    <n v="622"/>
    <n v="163"/>
    <n v="231925"/>
    <n v="9.18"/>
    <n v="13763"/>
    <n v="459"/>
    <n v="1.9790880672631238E-3"/>
  </r>
  <r>
    <d v="2025-05-12T00:00:00"/>
    <x v="0"/>
    <n v="837"/>
    <n v="261"/>
    <n v="366149"/>
    <n v="6.54"/>
    <n v="26073"/>
    <n v="576"/>
    <n v="1.5731300645365684E-3"/>
  </r>
  <r>
    <d v="2025-05-12T00:00:00"/>
    <x v="1"/>
    <n v="544"/>
    <n v="97"/>
    <n v="168375"/>
    <n v="8.66"/>
    <n v="12774"/>
    <n v="447"/>
    <n v="2.6547884187082403E-3"/>
  </r>
  <r>
    <d v="2025-05-12T00:00:00"/>
    <x v="2"/>
    <n v="624"/>
    <n v="247"/>
    <n v="252763"/>
    <n v="3.89"/>
    <n v="19000"/>
    <n v="377"/>
    <n v="1.4915157677349929E-3"/>
  </r>
  <r>
    <d v="2025-05-19T00:00:00"/>
    <x v="0"/>
    <n v="1073"/>
    <n v="141"/>
    <n v="118393"/>
    <n v="7.95"/>
    <n v="14051"/>
    <n v="932"/>
    <n v="7.872087032172511E-3"/>
  </r>
  <r>
    <d v="2025-05-19T00:00:00"/>
    <x v="1"/>
    <n v="1430"/>
    <n v="74"/>
    <n v="327012"/>
    <n v="6.66"/>
    <n v="27782"/>
    <n v="1356"/>
    <n v="4.1466368206671319E-3"/>
  </r>
  <r>
    <d v="2025-05-19T00:00:00"/>
    <x v="2"/>
    <n v="1358"/>
    <n v="77"/>
    <n v="169688"/>
    <n v="5.25"/>
    <n v="7859"/>
    <n v="1281"/>
    <n v="7.5491490264485411E-3"/>
  </r>
  <r>
    <d v="2025-05-26T00:00:00"/>
    <x v="0"/>
    <n v="1242"/>
    <n v="201"/>
    <n v="271935"/>
    <n v="5.07"/>
    <n v="15773"/>
    <n v="1041"/>
    <n v="3.8281206906062111E-3"/>
  </r>
  <r>
    <d v="2025-05-26T00:00:00"/>
    <x v="1"/>
    <n v="1389"/>
    <n v="205"/>
    <n v="315981"/>
    <n v="7.62"/>
    <n v="20595"/>
    <n v="1184"/>
    <n v="3.7470607409939207E-3"/>
  </r>
  <r>
    <d v="2025-05-26T00:00:00"/>
    <x v="2"/>
    <n v="826"/>
    <n v="142"/>
    <n v="341016"/>
    <n v="7.44"/>
    <n v="12031"/>
    <n v="684"/>
    <n v="2.005770990217468E-3"/>
  </r>
  <r>
    <d v="2025-06-02T00:00:00"/>
    <x v="0"/>
    <n v="618"/>
    <n v="264"/>
    <n v="285164"/>
    <n v="4.8600000000000003"/>
    <n v="15128"/>
    <n v="354"/>
    <n v="1.2413909189098204E-3"/>
  </r>
  <r>
    <d v="2025-06-02T00:00:00"/>
    <x v="1"/>
    <n v="1419"/>
    <n v="293"/>
    <n v="116632"/>
    <n v="6.93"/>
    <n v="11826"/>
    <n v="1126"/>
    <n v="9.6542972769051369E-3"/>
  </r>
  <r>
    <d v="2025-06-02T00:00:00"/>
    <x v="2"/>
    <n v="637"/>
    <n v="68"/>
    <n v="115694"/>
    <n v="9.99"/>
    <n v="12562"/>
    <n v="569"/>
    <n v="4.9181461441388493E-3"/>
  </r>
  <r>
    <d v="2025-06-09T00:00:00"/>
    <x v="0"/>
    <n v="917"/>
    <n v="187"/>
    <n v="64444"/>
    <n v="5.22"/>
    <n v="13013"/>
    <n v="730"/>
    <n v="1.1327664328719508E-2"/>
  </r>
  <r>
    <d v="2025-06-09T00:00:00"/>
    <x v="1"/>
    <n v="810"/>
    <n v="232"/>
    <n v="362559"/>
    <n v="5.17"/>
    <n v="12937"/>
    <n v="578"/>
    <n v="1.5942232850377457E-3"/>
  </r>
  <r>
    <d v="2025-06-09T00:00:00"/>
    <x v="2"/>
    <n v="1183"/>
    <n v="248"/>
    <n v="226881"/>
    <n v="5.17"/>
    <n v="14534"/>
    <n v="935"/>
    <n v="4.1211031333606603E-3"/>
  </r>
  <r>
    <d v="2025-06-16T00:00:00"/>
    <x v="0"/>
    <n v="765"/>
    <n v="67"/>
    <n v="283537"/>
    <n v="6.18"/>
    <n v="8182"/>
    <n v="698"/>
    <n v="2.4617598408673293E-3"/>
  </r>
  <r>
    <d v="2025-06-16T00:00:00"/>
    <x v="1"/>
    <n v="540"/>
    <n v="215"/>
    <n v="62837"/>
    <n v="5.3"/>
    <n v="10615"/>
    <n v="325"/>
    <n v="5.1721119722456512E-3"/>
  </r>
  <r>
    <d v="2025-06-16T00:00:00"/>
    <x v="2"/>
    <n v="1145"/>
    <n v="151"/>
    <n v="182759"/>
    <n v="5.99"/>
    <n v="20109"/>
    <n v="994"/>
    <n v="5.4388566363352828E-3"/>
  </r>
  <r>
    <d v="2025-06-23T00:00:00"/>
    <x v="0"/>
    <n v="564"/>
    <n v="244"/>
    <n v="279405"/>
    <n v="8.43"/>
    <n v="26024"/>
    <n v="320"/>
    <n v="1.1452908859898713E-3"/>
  </r>
  <r>
    <d v="2025-06-23T00:00:00"/>
    <x v="1"/>
    <n v="668"/>
    <n v="124"/>
    <n v="257485"/>
    <n v="7.55"/>
    <n v="26730"/>
    <n v="544"/>
    <n v="2.1127444317144686E-3"/>
  </r>
  <r>
    <d v="2025-06-23T00:00:00"/>
    <x v="2"/>
    <n v="761"/>
    <n v="241"/>
    <n v="154977"/>
    <n v="5.63"/>
    <n v="10563"/>
    <n v="520"/>
    <n v="3.3553365983339462E-3"/>
  </r>
  <r>
    <d v="2025-06-30T00:00:00"/>
    <x v="0"/>
    <n v="593"/>
    <n v="108"/>
    <n v="216500"/>
    <n v="4.71"/>
    <n v="27575"/>
    <n v="485"/>
    <n v="2.2401847575057735E-3"/>
  </r>
  <r>
    <d v="2025-06-30T00:00:00"/>
    <x v="1"/>
    <n v="1349"/>
    <n v="115"/>
    <n v="102102"/>
    <n v="5.28"/>
    <n v="14479"/>
    <n v="1234"/>
    <n v="1.208595326242385E-2"/>
  </r>
  <r>
    <d v="2025-06-30T00:00:00"/>
    <x v="2"/>
    <n v="693"/>
    <n v="97"/>
    <n v="92025"/>
    <n v="5.95"/>
    <n v="15915"/>
    <n v="596"/>
    <n v="6.4765009508285796E-3"/>
  </r>
  <r>
    <d v="2025-07-07T00:00:00"/>
    <x v="0"/>
    <n v="974"/>
    <n v="143"/>
    <n v="247965"/>
    <n v="9.98"/>
    <n v="12767"/>
    <n v="831"/>
    <n v="3.3512794144334888E-3"/>
  </r>
  <r>
    <d v="2025-07-07T00:00:00"/>
    <x v="1"/>
    <n v="1155"/>
    <n v="122"/>
    <n v="387352"/>
    <n v="9.93"/>
    <n v="12170"/>
    <n v="1033"/>
    <n v="2.6668250067122413E-3"/>
  </r>
  <r>
    <d v="2025-07-07T00:00:00"/>
    <x v="2"/>
    <n v="1051"/>
    <n v="246"/>
    <n v="253985"/>
    <n v="9.08"/>
    <n v="7245"/>
    <n v="805"/>
    <n v="3.1694785125105812E-3"/>
  </r>
  <r>
    <d v="2025-07-14T00:00:00"/>
    <x v="0"/>
    <n v="1457"/>
    <n v="183"/>
    <n v="129640"/>
    <n v="7.98"/>
    <n v="12985"/>
    <n v="1274"/>
    <n v="9.827213822894169E-3"/>
  </r>
  <r>
    <d v="2025-07-14T00:00:00"/>
    <x v="1"/>
    <n v="670"/>
    <n v="242"/>
    <n v="281913"/>
    <n v="9.6199999999999992"/>
    <n v="16377"/>
    <n v="428"/>
    <n v="1.5181988769584942E-3"/>
  </r>
  <r>
    <d v="2025-07-14T00:00:00"/>
    <x v="2"/>
    <n v="1111"/>
    <n v="159"/>
    <n v="360770"/>
    <n v="8.7100000000000009"/>
    <n v="11453"/>
    <n v="952"/>
    <n v="2.6388003437092886E-3"/>
  </r>
  <r>
    <d v="2025-07-21T00:00:00"/>
    <x v="0"/>
    <n v="1197"/>
    <n v="246"/>
    <n v="127273"/>
    <n v="6.69"/>
    <n v="12323"/>
    <n v="951"/>
    <n v="7.4721268454424738E-3"/>
  </r>
  <r>
    <d v="2025-07-21T00:00:00"/>
    <x v="1"/>
    <n v="754"/>
    <n v="150"/>
    <n v="189622"/>
    <n v="4.25"/>
    <n v="11911"/>
    <n v="604"/>
    <n v="3.1852844079273504E-3"/>
  </r>
  <r>
    <d v="2025-07-21T00:00:00"/>
    <x v="2"/>
    <n v="1246"/>
    <n v="107"/>
    <n v="350949"/>
    <n v="4.9800000000000004"/>
    <n v="27809"/>
    <n v="1139"/>
    <n v="3.2454858113287115E-3"/>
  </r>
  <r>
    <d v="2025-07-28T00:00:00"/>
    <x v="0"/>
    <n v="780"/>
    <n v="213"/>
    <n v="121431"/>
    <n v="4.97"/>
    <n v="21464"/>
    <n v="567"/>
    <n v="4.669318378338316E-3"/>
  </r>
  <r>
    <d v="2025-07-28T00:00:00"/>
    <x v="1"/>
    <n v="1425"/>
    <n v="143"/>
    <n v="116742"/>
    <n v="3.71"/>
    <n v="27126"/>
    <n v="1282"/>
    <n v="1.0981480529715098E-2"/>
  </r>
  <r>
    <d v="2025-07-28T00:00:00"/>
    <x v="2"/>
    <n v="1490"/>
    <n v="103"/>
    <n v="81184"/>
    <n v="7.79"/>
    <n v="10681"/>
    <n v="1387"/>
    <n v="1.7084647221127316E-2"/>
  </r>
  <r>
    <d v="2025-08-04T00:00:00"/>
    <x v="0"/>
    <n v="949"/>
    <n v="282"/>
    <n v="87126"/>
    <n v="4.96"/>
    <n v="5413"/>
    <n v="667"/>
    <n v="7.6555792759910937E-3"/>
  </r>
  <r>
    <d v="2025-08-04T00:00:00"/>
    <x v="1"/>
    <n v="640"/>
    <n v="141"/>
    <n v="267546"/>
    <n v="8.58"/>
    <n v="25058"/>
    <n v="499"/>
    <n v="1.8650998332996943E-3"/>
  </r>
  <r>
    <d v="2025-08-04T00:00:00"/>
    <x v="2"/>
    <n v="616"/>
    <n v="93"/>
    <n v="133082"/>
    <n v="8.51"/>
    <n v="18303"/>
    <n v="523"/>
    <n v="3.9299078763469142E-3"/>
  </r>
  <r>
    <d v="2025-08-11T00:00:00"/>
    <x v="0"/>
    <n v="1080"/>
    <n v="184"/>
    <n v="340557"/>
    <n v="5.41"/>
    <n v="5526"/>
    <n v="896"/>
    <n v="2.6309839468870114E-3"/>
  </r>
  <r>
    <d v="2025-08-11T00:00:00"/>
    <x v="1"/>
    <n v="938"/>
    <n v="236"/>
    <n v="116472"/>
    <n v="8.7200000000000006"/>
    <n v="17460"/>
    <n v="702"/>
    <n v="6.0271996703070265E-3"/>
  </r>
  <r>
    <d v="2025-08-11T00:00:00"/>
    <x v="2"/>
    <n v="1007"/>
    <n v="258"/>
    <n v="113412"/>
    <n v="7.71"/>
    <n v="14475"/>
    <n v="749"/>
    <n v="6.6042394102916796E-3"/>
  </r>
  <r>
    <d v="2025-08-18T00:00:00"/>
    <x v="0"/>
    <n v="541"/>
    <n v="208"/>
    <n v="157547"/>
    <n v="8.35"/>
    <n v="20162"/>
    <n v="333"/>
    <n v="2.1136549728017671E-3"/>
  </r>
  <r>
    <d v="2025-08-18T00:00:00"/>
    <x v="1"/>
    <n v="745"/>
    <n v="98"/>
    <n v="354816"/>
    <n v="4.03"/>
    <n v="17103"/>
    <n v="647"/>
    <n v="1.823480339105339E-3"/>
  </r>
  <r>
    <d v="2025-08-18T00:00:00"/>
    <x v="2"/>
    <n v="936"/>
    <n v="97"/>
    <n v="151799"/>
    <n v="9.3699999999999992"/>
    <n v="15461"/>
    <n v="839"/>
    <n v="5.5270456327116777E-3"/>
  </r>
  <r>
    <d v="2025-08-25T00:00:00"/>
    <x v="0"/>
    <n v="1183"/>
    <n v="223"/>
    <n v="143811"/>
    <n v="6.07"/>
    <n v="22103"/>
    <n v="960"/>
    <n v="6.6754281661347186E-3"/>
  </r>
  <r>
    <d v="2025-08-25T00:00:00"/>
    <x v="1"/>
    <n v="1413"/>
    <n v="245"/>
    <n v="296450"/>
    <n v="6.52"/>
    <n v="11625"/>
    <n v="1168"/>
    <n v="3.9399561477483558E-3"/>
  </r>
  <r>
    <d v="2025-08-25T00:00:00"/>
    <x v="2"/>
    <n v="791"/>
    <n v="273"/>
    <n v="144049"/>
    <n v="3.08"/>
    <n v="5281"/>
    <n v="518"/>
    <n v="3.5959985838152297E-3"/>
  </r>
  <r>
    <d v="2025-09-01T00:00:00"/>
    <x v="0"/>
    <n v="1052"/>
    <n v="180"/>
    <n v="272534"/>
    <n v="5.34"/>
    <n v="13424"/>
    <n v="872"/>
    <n v="3.1996007837554212E-3"/>
  </r>
  <r>
    <d v="2025-09-01T00:00:00"/>
    <x v="1"/>
    <n v="572"/>
    <n v="270"/>
    <n v="82265"/>
    <n v="3.65"/>
    <n v="13140"/>
    <n v="302"/>
    <n v="3.6710630280192063E-3"/>
  </r>
  <r>
    <d v="2025-09-01T00:00:00"/>
    <x v="2"/>
    <n v="503"/>
    <n v="253"/>
    <n v="313562"/>
    <n v="4.18"/>
    <n v="19538"/>
    <n v="250"/>
    <n v="7.9729048800556194E-4"/>
  </r>
  <r>
    <d v="2025-09-08T00:00:00"/>
    <x v="0"/>
    <n v="1017"/>
    <n v="197"/>
    <n v="89918"/>
    <n v="3.91"/>
    <n v="7881"/>
    <n v="820"/>
    <n v="9.1194199159233963E-3"/>
  </r>
  <r>
    <d v="2025-09-08T00:00:00"/>
    <x v="1"/>
    <n v="860"/>
    <n v="244"/>
    <n v="348686"/>
    <n v="5.12"/>
    <n v="11418"/>
    <n v="616"/>
    <n v="1.7666324429429343E-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4-06-03T00:00:00"/>
    <x v="0"/>
    <n v="1402"/>
    <n v="68"/>
    <n v="124562"/>
    <n v="9.92"/>
    <n v="23125"/>
    <n v="1334"/>
    <n v="1.0709526179733787E-2"/>
    <n v="4.2744916820702406"/>
  </r>
  <r>
    <d v="2024-06-03T00:00:00"/>
    <x v="1"/>
    <n v="995"/>
    <n v="86"/>
    <n v="227958"/>
    <n v="8.0500000000000007"/>
    <n v="22788"/>
    <n v="909"/>
    <n v="3.9875766588582107E-3"/>
    <n v="4.6054971705739689"/>
  </r>
  <r>
    <d v="2024-06-03T00:00:00"/>
    <x v="2"/>
    <n v="1472"/>
    <n v="296"/>
    <n v="370242"/>
    <n v="7.72"/>
    <n v="7810"/>
    <n v="1176"/>
    <n v="3.176300905893983E-3"/>
    <n v="1.5065586419753085"/>
  </r>
  <r>
    <d v="2024-06-10T00:00:00"/>
    <x v="0"/>
    <n v="1018"/>
    <n v="90"/>
    <n v="92474"/>
    <n v="9.4"/>
    <n v="11966"/>
    <n v="928"/>
    <n v="1.0035253152237385E-2"/>
    <n v="2.8674814282290919"/>
  </r>
  <r>
    <d v="2024-06-10T00:00:00"/>
    <x v="1"/>
    <n v="1461"/>
    <n v="64"/>
    <n v="328902"/>
    <n v="9.02"/>
    <n v="26298"/>
    <n v="1397"/>
    <n v="4.247465810484582E-3"/>
    <n v="5.2199285430726476"/>
  </r>
  <r>
    <d v="2024-06-10T00:00:00"/>
    <x v="2"/>
    <n v="545"/>
    <n v="93"/>
    <n v="391621"/>
    <n v="9.9600000000000009"/>
    <n v="22029"/>
    <n v="452"/>
    <n v="1.1541771253329111E-3"/>
    <n v="3.9372654155495979"/>
  </r>
  <r>
    <d v="2024-06-17T00:00:00"/>
    <x v="0"/>
    <n v="881"/>
    <n v="291"/>
    <n v="95885"/>
    <n v="5.29"/>
    <n v="12391"/>
    <n v="590"/>
    <n v="6.1532043593888509E-3"/>
    <n v="2.5966051969823973"/>
  </r>
  <r>
    <d v="2024-06-17T00:00:00"/>
    <x v="1"/>
    <n v="1414"/>
    <n v="131"/>
    <n v="245947"/>
    <n v="8.3000000000000007"/>
    <n v="14477"/>
    <n v="1283"/>
    <n v="5.2165710498603361E-3"/>
    <n v="2.6928943452380953"/>
  </r>
  <r>
    <d v="2024-06-17T00:00:00"/>
    <x v="2"/>
    <n v="1472"/>
    <n v="170"/>
    <n v="250428"/>
    <n v="4.66"/>
    <n v="25040"/>
    <n v="1302"/>
    <n v="5.1990991422684362E-3"/>
    <n v="5.8586803930744038"/>
  </r>
  <r>
    <d v="2024-06-24T00:00:00"/>
    <x v="0"/>
    <n v="809"/>
    <n v="197"/>
    <n v="87186"/>
    <n v="9.48"/>
    <n v="22619"/>
    <n v="612"/>
    <n v="7.0194756038813571E-3"/>
    <n v="5.9351876147992657"/>
  </r>
  <r>
    <d v="2024-06-24T00:00:00"/>
    <x v="1"/>
    <n v="1371"/>
    <n v="250"/>
    <n v="128620"/>
    <n v="7.11"/>
    <n v="12399"/>
    <n v="1121"/>
    <n v="8.7155963302752298E-3"/>
    <n v="2.2292340884573894"/>
  </r>
  <r>
    <d v="2024-06-24T00:00:00"/>
    <x v="2"/>
    <n v="844"/>
    <n v="144"/>
    <n v="126015"/>
    <n v="9.65"/>
    <n v="22456"/>
    <n v="700"/>
    <n v="5.5548942586200059E-3"/>
    <n v="3.9396491228070176"/>
  </r>
  <r>
    <d v="2024-07-01T00:00:00"/>
    <x v="0"/>
    <n v="786"/>
    <n v="72"/>
    <n v="178615"/>
    <n v="5.43"/>
    <n v="19328"/>
    <n v="714"/>
    <n v="3.9974246283906723E-3"/>
    <n v="3.6447293984537055"/>
  </r>
  <r>
    <d v="2024-07-01T00:00:00"/>
    <x v="1"/>
    <n v="845"/>
    <n v="250"/>
    <n v="218228"/>
    <n v="4.5199999999999996"/>
    <n v="21107"/>
    <n v="595"/>
    <n v="2.7265062228494967E-3"/>
    <n v="3.9036434251895691"/>
  </r>
  <r>
    <d v="2024-07-01T00:00:00"/>
    <x v="2"/>
    <n v="1218"/>
    <n v="101"/>
    <n v="300397"/>
    <n v="4.33"/>
    <n v="12277"/>
    <n v="1117"/>
    <n v="3.7184126339477423E-3"/>
    <n v="3.1463352127114299"/>
  </r>
  <r>
    <d v="2024-07-08T00:00:00"/>
    <x v="0"/>
    <n v="797"/>
    <n v="130"/>
    <n v="340121"/>
    <n v="8.52"/>
    <n v="11684"/>
    <n v="667"/>
    <n v="1.9610667968164271E-3"/>
    <n v="2.0812255076594228"/>
  </r>
  <r>
    <d v="2024-07-08T00:00:00"/>
    <x v="1"/>
    <n v="1471"/>
    <n v="100"/>
    <n v="76866"/>
    <n v="8.5500000000000007"/>
    <n v="14412"/>
    <n v="1371"/>
    <n v="1.7836234485988603E-2"/>
    <n v="2.5635005336179297"/>
  </r>
  <r>
    <d v="2024-07-08T00:00:00"/>
    <x v="2"/>
    <n v="1253"/>
    <n v="136"/>
    <n v="193131"/>
    <n v="7.99"/>
    <n v="15924"/>
    <n v="1117"/>
    <n v="5.7836390843520723E-3"/>
    <n v="3.7743541123488979"/>
  </r>
  <r>
    <d v="2024-07-15T00:00:00"/>
    <x v="0"/>
    <n v="616"/>
    <n v="257"/>
    <n v="169665"/>
    <n v="6.31"/>
    <n v="12390"/>
    <n v="359"/>
    <n v="2.1159343412017798E-3"/>
    <n v="3.3604556550040683"/>
  </r>
  <r>
    <d v="2024-07-15T00:00:00"/>
    <x v="1"/>
    <n v="1308"/>
    <n v="210"/>
    <n v="263729"/>
    <n v="8.5299999999999994"/>
    <n v="25742"/>
    <n v="1098"/>
    <n v="4.1633646660018432E-3"/>
    <n v="4.5976067154849076"/>
  </r>
  <r>
    <d v="2024-07-15T00:00:00"/>
    <x v="2"/>
    <n v="981"/>
    <n v="69"/>
    <n v="206921"/>
    <n v="8.42"/>
    <n v="10495"/>
    <n v="912"/>
    <n v="4.4074791828765565E-3"/>
    <n v="1.9267486689921058"/>
  </r>
  <r>
    <d v="2024-07-22T00:00:00"/>
    <x v="0"/>
    <n v="866"/>
    <n v="74"/>
    <n v="204121"/>
    <n v="9.34"/>
    <n v="7797"/>
    <n v="792"/>
    <n v="3.8800515380583087E-3"/>
    <n v="2.2885236278250662"/>
  </r>
  <r>
    <d v="2024-07-22T00:00:00"/>
    <x v="1"/>
    <n v="547"/>
    <n v="183"/>
    <n v="266350"/>
    <n v="5.65"/>
    <n v="15595"/>
    <n v="364"/>
    <n v="1.3666228646517741E-3"/>
    <n v="3.538688450192875"/>
  </r>
  <r>
    <d v="2024-07-22T00:00:00"/>
    <x v="2"/>
    <n v="1241"/>
    <n v="116"/>
    <n v="380606"/>
    <n v="4.2"/>
    <n v="24617"/>
    <n v="1125"/>
    <n v="2.9558125725816196E-3"/>
    <n v="5.0756701030927838"/>
  </r>
  <r>
    <d v="2024-07-29T00:00:00"/>
    <x v="0"/>
    <n v="973"/>
    <n v="104"/>
    <n v="376358"/>
    <n v="3.87"/>
    <n v="9847"/>
    <n v="869"/>
    <n v="2.3089717768720206E-3"/>
    <n v="1.8914713791778717"/>
  </r>
  <r>
    <d v="2024-07-29T00:00:00"/>
    <x v="1"/>
    <n v="611"/>
    <n v="197"/>
    <n v="79423"/>
    <n v="5.82"/>
    <n v="13644"/>
    <n v="414"/>
    <n v="5.2125958475504573E-3"/>
    <n v="2.8365904365904364"/>
  </r>
  <r>
    <d v="2024-07-29T00:00:00"/>
    <x v="2"/>
    <n v="983"/>
    <n v="134"/>
    <n v="352178"/>
    <n v="3.55"/>
    <n v="11421"/>
    <n v="849"/>
    <n v="2.4107127645679174E-3"/>
    <n v="2.1029276376357946"/>
  </r>
  <r>
    <d v="2024-08-05T00:00:00"/>
    <x v="0"/>
    <n v="1449"/>
    <n v="96"/>
    <n v="200636"/>
    <n v="9.92"/>
    <n v="15613"/>
    <n v="1353"/>
    <n v="6.7435554935305723E-3"/>
    <n v="3.35907917383821"/>
  </r>
  <r>
    <d v="2024-08-05T00:00:00"/>
    <x v="1"/>
    <n v="752"/>
    <n v="170"/>
    <n v="132756"/>
    <n v="8.17"/>
    <n v="23900"/>
    <n v="582"/>
    <n v="4.3839826448522105E-3"/>
    <n v="5.8693516699410608"/>
  </r>
  <r>
    <d v="2024-08-05T00:00:00"/>
    <x v="2"/>
    <n v="937"/>
    <n v="179"/>
    <n v="318098"/>
    <n v="5.3"/>
    <n v="5836"/>
    <n v="758"/>
    <n v="2.3829134417695176E-3"/>
    <n v="1.5386237806485632"/>
  </r>
  <r>
    <d v="2024-08-12T00:00:00"/>
    <x v="0"/>
    <n v="1060"/>
    <n v="83"/>
    <n v="68724"/>
    <n v="5.98"/>
    <n v="5624"/>
    <n v="977"/>
    <n v="1.4216285431581398E-2"/>
    <n v="1.5013347570742126"/>
  </r>
  <r>
    <d v="2024-08-12T00:00:00"/>
    <x v="1"/>
    <n v="1456"/>
    <n v="265"/>
    <n v="115505"/>
    <n v="7.49"/>
    <n v="10311"/>
    <n v="1191"/>
    <n v="1.031124193757846E-2"/>
    <n v="2.9094243792325059"/>
  </r>
  <r>
    <d v="2024-08-12T00:00:00"/>
    <x v="2"/>
    <n v="1109"/>
    <n v="205"/>
    <n v="276722"/>
    <n v="9.3800000000000008"/>
    <n v="8274"/>
    <n v="904"/>
    <n v="3.2668165162148292E-3"/>
    <n v="1.6488640892785971"/>
  </r>
  <r>
    <d v="2024-08-19T00:00:00"/>
    <x v="0"/>
    <n v="1002"/>
    <n v="93"/>
    <n v="353538"/>
    <n v="5.84"/>
    <n v="6031"/>
    <n v="909"/>
    <n v="2.5711521816608116E-3"/>
    <n v="1.1336466165413535"/>
  </r>
  <r>
    <d v="2024-08-19T00:00:00"/>
    <x v="1"/>
    <n v="571"/>
    <n v="189"/>
    <n v="61445"/>
    <n v="5.41"/>
    <n v="27829"/>
    <n v="382"/>
    <n v="6.2169419806330862E-3"/>
    <n v="6.2229427549194991"/>
  </r>
  <r>
    <d v="2024-08-19T00:00:00"/>
    <x v="2"/>
    <n v="1240"/>
    <n v="231"/>
    <n v="165035"/>
    <n v="6.05"/>
    <n v="18267"/>
    <n v="1009"/>
    <n v="6.1138546368952043E-3"/>
    <n v="5.5421723300970873"/>
  </r>
  <r>
    <d v="2024-08-26T00:00:00"/>
    <x v="0"/>
    <n v="1154"/>
    <n v="132"/>
    <n v="194595"/>
    <n v="7.54"/>
    <n v="26624"/>
    <n v="1022"/>
    <n v="5.2519335029163131E-3"/>
    <n v="7.5315417256011319"/>
  </r>
  <r>
    <d v="2024-08-26T00:00:00"/>
    <x v="1"/>
    <n v="537"/>
    <n v="275"/>
    <n v="236238"/>
    <n v="5.87"/>
    <n v="26644"/>
    <n v="262"/>
    <n v="1.1090510417460359E-3"/>
    <n v="5.2376646353449967"/>
  </r>
  <r>
    <d v="2024-08-26T00:00:00"/>
    <x v="2"/>
    <n v="1456"/>
    <n v="290"/>
    <n v="271044"/>
    <n v="7.17"/>
    <n v="13051"/>
    <n v="1166"/>
    <n v="4.3018845648676966E-3"/>
    <n v="3.3472685303924083"/>
  </r>
  <r>
    <d v="2024-09-02T00:00:00"/>
    <x v="0"/>
    <n v="721"/>
    <n v="206"/>
    <n v="334887"/>
    <n v="6.05"/>
    <n v="14217"/>
    <n v="515"/>
    <n v="1.5378321642822803E-3"/>
    <n v="4.0585212674850126"/>
  </r>
  <r>
    <d v="2024-09-02T00:00:00"/>
    <x v="1"/>
    <n v="1098"/>
    <n v="142"/>
    <n v="359150"/>
    <n v="7.51"/>
    <n v="16385"/>
    <n v="956"/>
    <n v="2.6618404566337186E-3"/>
    <n v="4.7575493612078974"/>
  </r>
  <r>
    <d v="2024-09-02T00:00:00"/>
    <x v="2"/>
    <n v="1096"/>
    <n v="65"/>
    <n v="358295"/>
    <n v="7.66"/>
    <n v="24548"/>
    <n v="1031"/>
    <n v="2.8775171297394605E-3"/>
    <n v="6.1849332325522806"/>
  </r>
  <r>
    <d v="2024-09-09T00:00:00"/>
    <x v="0"/>
    <n v="912"/>
    <n v="275"/>
    <n v="368454"/>
    <n v="6.03"/>
    <n v="9195"/>
    <n v="637"/>
    <n v="1.7288453918263881E-3"/>
    <n v="1.7408178720181748"/>
  </r>
  <r>
    <d v="2024-09-09T00:00:00"/>
    <x v="1"/>
    <n v="1430"/>
    <n v="162"/>
    <n v="269082"/>
    <n v="3.4"/>
    <n v="18071"/>
    <n v="1268"/>
    <n v="4.7123181781018424E-3"/>
    <n v="3.5475068708284256"/>
  </r>
  <r>
    <d v="2024-09-09T00:00:00"/>
    <x v="2"/>
    <n v="854"/>
    <n v="129"/>
    <n v="310903"/>
    <n v="7.83"/>
    <n v="16875"/>
    <n v="725"/>
    <n v="2.3319170287838973E-3"/>
    <n v="5.6325100133511352"/>
  </r>
  <r>
    <d v="2024-09-16T00:00:00"/>
    <x v="0"/>
    <n v="681"/>
    <n v="210"/>
    <n v="248581"/>
    <n v="8.76"/>
    <n v="9567"/>
    <n v="471"/>
    <n v="1.8947546272643525E-3"/>
    <n v="2.104950495049505"/>
  </r>
  <r>
    <d v="2024-09-16T00:00:00"/>
    <x v="1"/>
    <n v="1373"/>
    <n v="82"/>
    <n v="371015"/>
    <n v="9.52"/>
    <n v="20306"/>
    <n v="1291"/>
    <n v="3.4796436801746559E-3"/>
    <n v="4.4133883938274288"/>
  </r>
  <r>
    <d v="2024-09-16T00:00:00"/>
    <x v="2"/>
    <n v="685"/>
    <n v="285"/>
    <n v="177452"/>
    <n v="3.36"/>
    <n v="21134"/>
    <n v="400"/>
    <n v="2.2541306944976669E-3"/>
    <n v="6.4967722102674452"/>
  </r>
  <r>
    <d v="2024-09-23T00:00:00"/>
    <x v="0"/>
    <n v="1290"/>
    <n v="177"/>
    <n v="80745"/>
    <n v="9.2200000000000006"/>
    <n v="26872"/>
    <n v="1113"/>
    <n v="1.3784135240572171E-2"/>
    <n v="5.5133360689372175"/>
  </r>
  <r>
    <d v="2024-09-23T00:00:00"/>
    <x v="1"/>
    <n v="1437"/>
    <n v="239"/>
    <n v="362441"/>
    <n v="5.57"/>
    <n v="10253"/>
    <n v="1198"/>
    <n v="3.305365562946797E-3"/>
    <n v="3.1287763198046994"/>
  </r>
  <r>
    <d v="2024-09-23T00:00:00"/>
    <x v="2"/>
    <n v="769"/>
    <n v="295"/>
    <n v="344771"/>
    <n v="8.06"/>
    <n v="23963"/>
    <n v="474"/>
    <n v="1.3748256088824177E-3"/>
    <n v="7.8747946105816631"/>
  </r>
  <r>
    <d v="2024-09-30T00:00:00"/>
    <x v="0"/>
    <n v="1416"/>
    <n v="284"/>
    <n v="374952"/>
    <n v="3.45"/>
    <n v="11335"/>
    <n v="1132"/>
    <n v="3.0190531054641659E-3"/>
    <n v="2.3634278565471227"/>
  </r>
  <r>
    <d v="2024-09-30T00:00:00"/>
    <x v="1"/>
    <n v="998"/>
    <n v="154"/>
    <n v="179781"/>
    <n v="9.58"/>
    <n v="12115"/>
    <n v="844"/>
    <n v="4.6946006530167259E-3"/>
    <n v="4.3329756795422032"/>
  </r>
  <r>
    <d v="2024-09-30T00:00:00"/>
    <x v="2"/>
    <n v="1421"/>
    <n v="246"/>
    <n v="358581"/>
    <n v="8.8800000000000008"/>
    <n v="24358"/>
    <n v="1175"/>
    <n v="3.2768049617799048E-3"/>
    <n v="7.5928927680798006"/>
  </r>
  <r>
    <d v="2024-10-07T00:00:00"/>
    <x v="0"/>
    <n v="764"/>
    <n v="205"/>
    <n v="319294"/>
    <n v="6.23"/>
    <n v="12181"/>
    <n v="559"/>
    <n v="1.7507375647522346E-3"/>
    <n v="2.3763168162309793"/>
  </r>
  <r>
    <d v="2024-10-07T00:00:00"/>
    <x v="1"/>
    <n v="678"/>
    <n v="124"/>
    <n v="192022"/>
    <n v="8.4499999999999993"/>
    <n v="17729"/>
    <n v="554"/>
    <n v="2.8850860838862216E-3"/>
    <n v="6.3250089190153407"/>
  </r>
  <r>
    <d v="2024-10-07T00:00:00"/>
    <x v="2"/>
    <n v="1328"/>
    <n v="103"/>
    <n v="151462"/>
    <n v="8.4"/>
    <n v="10881"/>
    <n v="1225"/>
    <n v="8.0878372132944243E-3"/>
    <n v="3.1475267573040209"/>
  </r>
  <r>
    <d v="2024-10-14T00:00:00"/>
    <x v="0"/>
    <n v="1161"/>
    <n v="269"/>
    <n v="188193"/>
    <n v="7.34"/>
    <n v="18576"/>
    <n v="892"/>
    <n v="4.7398149771776844E-3"/>
    <n v="3.807337569174011"/>
  </r>
  <r>
    <d v="2024-10-14T00:00:00"/>
    <x v="1"/>
    <n v="588"/>
    <n v="52"/>
    <n v="292040"/>
    <n v="8.14"/>
    <n v="9383"/>
    <n v="536"/>
    <n v="1.8353650184906177E-3"/>
    <n v="2.8126498800959232"/>
  </r>
  <r>
    <d v="2024-10-14T00:00:00"/>
    <x v="2"/>
    <n v="1457"/>
    <n v="215"/>
    <n v="325325"/>
    <n v="9.58"/>
    <n v="14178"/>
    <n v="1242"/>
    <n v="3.8177207407976638E-3"/>
    <n v="4.8906519489479132"/>
  </r>
  <r>
    <d v="2024-10-21T00:00:00"/>
    <x v="0"/>
    <n v="1190"/>
    <n v="242"/>
    <n v="86849"/>
    <n v="8.06"/>
    <n v="21254"/>
    <n v="948"/>
    <n v="1.0915497012055407E-2"/>
    <n v="4.3278354713907552"/>
  </r>
  <r>
    <d v="2024-10-21T00:00:00"/>
    <x v="1"/>
    <n v="886"/>
    <n v="124"/>
    <n v="141161"/>
    <n v="8.19"/>
    <n v="14215"/>
    <n v="762"/>
    <n v="5.3980915408646862E-3"/>
    <n v="3.1003271537622683"/>
  </r>
  <r>
    <d v="2024-10-21T00:00:00"/>
    <x v="2"/>
    <n v="1237"/>
    <n v="155"/>
    <n v="149916"/>
    <n v="4.4800000000000004"/>
    <n v="16921"/>
    <n v="1082"/>
    <n v="7.2173750633688196E-3"/>
    <n v="3.1271484014045461"/>
  </r>
  <r>
    <d v="2024-10-28T00:00:00"/>
    <x v="0"/>
    <n v="1435"/>
    <n v="261"/>
    <n v="308533"/>
    <n v="4.5199999999999996"/>
    <n v="25130"/>
    <n v="1174"/>
    <n v="3.8051035059458792E-3"/>
    <n v="6.9824951375382049"/>
  </r>
  <r>
    <d v="2024-10-28T00:00:00"/>
    <x v="1"/>
    <n v="746"/>
    <n v="282"/>
    <n v="293894"/>
    <n v="5.42"/>
    <n v="25537"/>
    <n v="464"/>
    <n v="1.5788005199153436E-3"/>
    <n v="7.1412192393736014"/>
  </r>
  <r>
    <d v="2024-10-28T00:00:00"/>
    <x v="2"/>
    <n v="759"/>
    <n v="216"/>
    <n v="147656"/>
    <n v="4.08"/>
    <n v="24943"/>
    <n v="543"/>
    <n v="3.6774665438586984E-3"/>
    <n v="4.3545740223463687"/>
  </r>
  <r>
    <d v="2024-11-04T00:00:00"/>
    <x v="0"/>
    <n v="1437"/>
    <n v="235"/>
    <n v="326791"/>
    <n v="4.0599999999999996"/>
    <n v="14563"/>
    <n v="1202"/>
    <n v="3.6781918718691762E-3"/>
    <n v="2.8421155347384857"/>
  </r>
  <r>
    <d v="2024-11-04T00:00:00"/>
    <x v="1"/>
    <n v="1463"/>
    <n v="73"/>
    <n v="348877"/>
    <n v="9.91"/>
    <n v="26273"/>
    <n v="1390"/>
    <n v="3.9842122008616216E-3"/>
    <n v="8.7285714285714278"/>
  </r>
  <r>
    <d v="2024-11-04T00:00:00"/>
    <x v="2"/>
    <n v="1208"/>
    <n v="224"/>
    <n v="122730"/>
    <n v="8.7200000000000006"/>
    <n v="10858"/>
    <n v="984"/>
    <n v="8.0175996088975802E-3"/>
    <n v="3.358490566037736"/>
  </r>
  <r>
    <d v="2024-11-11T00:00:00"/>
    <x v="0"/>
    <n v="1391"/>
    <n v="187"/>
    <n v="306508"/>
    <n v="8.3800000000000008"/>
    <n v="25038"/>
    <n v="1204"/>
    <n v="3.9281193313061976E-3"/>
    <n v="5.9642686993806571"/>
  </r>
  <r>
    <d v="2024-11-11T00:00:00"/>
    <x v="1"/>
    <n v="655"/>
    <n v="123"/>
    <n v="202472"/>
    <n v="7.56"/>
    <n v="9092"/>
    <n v="532"/>
    <n v="2.6275238057607967E-3"/>
    <n v="1.9419051687313114"/>
  </r>
  <r>
    <d v="2024-11-11T00:00:00"/>
    <x v="2"/>
    <n v="1148"/>
    <n v="90"/>
    <n v="227249"/>
    <n v="7.24"/>
    <n v="17662"/>
    <n v="1058"/>
    <n v="4.6556860536239985E-3"/>
    <n v="4.5485449394797834"/>
  </r>
  <r>
    <d v="2024-11-18T00:00:00"/>
    <x v="0"/>
    <n v="946"/>
    <n v="270"/>
    <n v="246567"/>
    <n v="4.53"/>
    <n v="5924"/>
    <n v="676"/>
    <n v="2.741648314656868E-3"/>
    <n v="1.6815214305989215"/>
  </r>
  <r>
    <d v="2024-11-18T00:00:00"/>
    <x v="1"/>
    <n v="791"/>
    <n v="214"/>
    <n v="114738"/>
    <n v="6.62"/>
    <n v="25347"/>
    <n v="577"/>
    <n v="5.0288483327232481E-3"/>
    <n v="4.5392191977077365"/>
  </r>
  <r>
    <d v="2024-11-18T00:00:00"/>
    <x v="2"/>
    <n v="793"/>
    <n v="111"/>
    <n v="333500"/>
    <n v="6.36"/>
    <n v="8910"/>
    <n v="682"/>
    <n v="2.0449775112443779E-3"/>
    <n v="2.1078779276082327"/>
  </r>
  <r>
    <d v="2024-11-25T00:00:00"/>
    <x v="0"/>
    <n v="663"/>
    <n v="213"/>
    <n v="352677"/>
    <n v="9"/>
    <n v="20438"/>
    <n v="450"/>
    <n v="1.2759550523566889E-3"/>
    <n v="7.1511546536039186"/>
  </r>
  <r>
    <d v="2024-11-25T00:00:00"/>
    <x v="1"/>
    <n v="954"/>
    <n v="271"/>
    <n v="160936"/>
    <n v="8.83"/>
    <n v="8760"/>
    <n v="683"/>
    <n v="4.2439230501565839E-3"/>
    <n v="1.7391304347826086"/>
  </r>
  <r>
    <d v="2024-11-25T00:00:00"/>
    <x v="2"/>
    <n v="1313"/>
    <n v="159"/>
    <n v="197183"/>
    <n v="9.7100000000000009"/>
    <n v="6625"/>
    <n v="1154"/>
    <n v="5.8524314976443207E-3"/>
    <n v="1.3155281969817316"/>
  </r>
  <r>
    <d v="2024-12-02T00:00:00"/>
    <x v="0"/>
    <n v="895"/>
    <n v="87"/>
    <n v="171271"/>
    <n v="6.68"/>
    <n v="23329"/>
    <n v="808"/>
    <n v="4.7176696580273365E-3"/>
    <n v="4.6086527064401421"/>
  </r>
  <r>
    <d v="2024-12-02T00:00:00"/>
    <x v="1"/>
    <n v="1027"/>
    <n v="156"/>
    <n v="111293"/>
    <n v="5.51"/>
    <n v="7299"/>
    <n v="871"/>
    <n v="7.8261885293774095E-3"/>
    <n v="2.5458667596791069"/>
  </r>
  <r>
    <d v="2024-12-02T00:00:00"/>
    <x v="2"/>
    <n v="990"/>
    <n v="286"/>
    <n v="351493"/>
    <n v="7.97"/>
    <n v="14496"/>
    <n v="704"/>
    <n v="2.0028848369668811E-3"/>
    <n v="3.8430540827147404"/>
  </r>
  <r>
    <d v="2024-12-09T00:00:00"/>
    <x v="0"/>
    <n v="875"/>
    <n v="264"/>
    <n v="345631"/>
    <n v="9.18"/>
    <n v="25703"/>
    <n v="611"/>
    <n v="1.7677812464738406E-3"/>
    <n v="6.9807170016295492"/>
  </r>
  <r>
    <d v="2024-12-09T00:00:00"/>
    <x v="1"/>
    <n v="599"/>
    <n v="194"/>
    <n v="105622"/>
    <n v="6.44"/>
    <n v="15108"/>
    <n v="405"/>
    <n v="3.8344284334702996E-3"/>
    <n v="4.7719519898926093"/>
  </r>
  <r>
    <d v="2024-12-09T00:00:00"/>
    <x v="2"/>
    <n v="630"/>
    <n v="248"/>
    <n v="119054"/>
    <n v="5.0199999999999996"/>
    <n v="18867"/>
    <n v="382"/>
    <n v="3.2086280175382597E-3"/>
    <n v="3.850408163265306"/>
  </r>
  <r>
    <d v="2024-12-16T00:00:00"/>
    <x v="0"/>
    <n v="1350"/>
    <n v="233"/>
    <n v="171670"/>
    <n v="4.53"/>
    <n v="17574"/>
    <n v="1117"/>
    <n v="6.506669773402458E-3"/>
    <n v="3.8220965637233579"/>
  </r>
  <r>
    <d v="2024-12-16T00:00:00"/>
    <x v="1"/>
    <n v="632"/>
    <n v="155"/>
    <n v="170432"/>
    <n v="9.17"/>
    <n v="12840"/>
    <n v="477"/>
    <n v="2.7987701840030041E-3"/>
    <n v="2.7168853152771901"/>
  </r>
  <r>
    <d v="2024-12-16T00:00:00"/>
    <x v="2"/>
    <n v="1182"/>
    <n v="83"/>
    <n v="140300"/>
    <n v="3.27"/>
    <n v="21079"/>
    <n v="1099"/>
    <n v="7.8332145402708487E-3"/>
    <n v="4.7019852777158153"/>
  </r>
  <r>
    <d v="2024-12-23T00:00:00"/>
    <x v="0"/>
    <n v="661"/>
    <n v="94"/>
    <n v="116538"/>
    <n v="5.31"/>
    <n v="23486"/>
    <n v="567"/>
    <n v="4.8653658034289241E-3"/>
    <n v="8.7406029028656498"/>
  </r>
  <r>
    <d v="2024-12-23T00:00:00"/>
    <x v="1"/>
    <n v="1360"/>
    <n v="227"/>
    <n v="176902"/>
    <n v="6.03"/>
    <n v="5960"/>
    <n v="1133"/>
    <n v="6.4046760353189906E-3"/>
    <n v="1.221311475409836"/>
  </r>
  <r>
    <d v="2024-12-23T00:00:00"/>
    <x v="2"/>
    <n v="935"/>
    <n v="85"/>
    <n v="326821"/>
    <n v="8.89"/>
    <n v="13301"/>
    <n v="850"/>
    <n v="2.60081206532016E-3"/>
    <n v="2.6914204775394577"/>
  </r>
  <r>
    <d v="2024-12-30T00:00:00"/>
    <x v="0"/>
    <n v="664"/>
    <n v="251"/>
    <n v="240598"/>
    <n v="4.79"/>
    <n v="10563"/>
    <n v="413"/>
    <n v="1.7165562473503519E-3"/>
    <n v="2.4491073498724787"/>
  </r>
  <r>
    <d v="2024-12-30T00:00:00"/>
    <x v="1"/>
    <n v="1490"/>
    <n v="103"/>
    <n v="373274"/>
    <n v="4.8"/>
    <n v="19949"/>
    <n v="1387"/>
    <n v="3.7157691133055076E-3"/>
    <n v="3.8796188253597821"/>
  </r>
  <r>
    <d v="2024-12-30T00:00:00"/>
    <x v="2"/>
    <n v="601"/>
    <n v="64"/>
    <n v="123272"/>
    <n v="4.07"/>
    <n v="14273"/>
    <n v="537"/>
    <n v="4.3562203906807708E-3"/>
    <n v="2.5772842181292885"/>
  </r>
  <r>
    <d v="2025-01-06T00:00:00"/>
    <x v="0"/>
    <n v="613"/>
    <n v="170"/>
    <n v="139266"/>
    <n v="6.06"/>
    <n v="9247"/>
    <n v="443"/>
    <n v="3.1809630491290049E-3"/>
    <n v="3.1733013040494167"/>
  </r>
  <r>
    <d v="2025-01-06T00:00:00"/>
    <x v="1"/>
    <n v="1340"/>
    <n v="57"/>
    <n v="155927"/>
    <n v="7.79"/>
    <n v="11972"/>
    <n v="1283"/>
    <n v="8.2282093543773697E-3"/>
    <n v="3.6158260344306856"/>
  </r>
  <r>
    <d v="2025-01-06T00:00:00"/>
    <x v="2"/>
    <n v="953"/>
    <n v="228"/>
    <n v="258398"/>
    <n v="9.0500000000000007"/>
    <n v="13314"/>
    <n v="725"/>
    <n v="2.8057492705051896E-3"/>
    <n v="3.0217884702678166"/>
  </r>
  <r>
    <d v="2025-01-13T00:00:00"/>
    <x v="0"/>
    <n v="532"/>
    <n v="65"/>
    <n v="338561"/>
    <n v="3.5"/>
    <n v="14749"/>
    <n v="467"/>
    <n v="1.3793673813581599E-3"/>
    <n v="2.6714363339974643"/>
  </r>
  <r>
    <d v="2025-01-13T00:00:00"/>
    <x v="1"/>
    <n v="1414"/>
    <n v="60"/>
    <n v="341856"/>
    <n v="8.76"/>
    <n v="6868"/>
    <n v="1354"/>
    <n v="3.960732004118693E-3"/>
    <n v="1.2363636363636363"/>
  </r>
  <r>
    <d v="2025-01-13T00:00:00"/>
    <x v="2"/>
    <n v="685"/>
    <n v="165"/>
    <n v="175860"/>
    <n v="6.26"/>
    <n v="6027"/>
    <n v="520"/>
    <n v="2.9568975321278288E-3"/>
    <n v="2.3405825242718445"/>
  </r>
  <r>
    <d v="2025-01-20T00:00:00"/>
    <x v="0"/>
    <n v="601"/>
    <n v="159"/>
    <n v="327722"/>
    <n v="3.33"/>
    <n v="25267"/>
    <n v="442"/>
    <n v="1.3487040845594743E-3"/>
    <n v="5.9131757547390595"/>
  </r>
  <r>
    <d v="2025-01-20T00:00:00"/>
    <x v="1"/>
    <n v="841"/>
    <n v="295"/>
    <n v="271638"/>
    <n v="9.15"/>
    <n v="5900"/>
    <n v="546"/>
    <n v="2.0100280520398473E-3"/>
    <n v="2.1276595744680851"/>
  </r>
  <r>
    <d v="2025-01-20T00:00:00"/>
    <x v="2"/>
    <n v="1105"/>
    <n v="261"/>
    <n v="333851"/>
    <n v="6.03"/>
    <n v="11181"/>
    <n v="844"/>
    <n v="2.5280739012313877E-3"/>
    <n v="2.030325040857091"/>
  </r>
  <r>
    <d v="2025-01-27T00:00:00"/>
    <x v="0"/>
    <n v="566"/>
    <n v="225"/>
    <n v="368984"/>
    <n v="9.82"/>
    <n v="9592"/>
    <n v="341"/>
    <n v="9.2415931314094918E-4"/>
    <n v="1.7661572454428283"/>
  </r>
  <r>
    <d v="2025-01-27T00:00:00"/>
    <x v="1"/>
    <n v="1149"/>
    <n v="280"/>
    <n v="167310"/>
    <n v="3.7"/>
    <n v="5291"/>
    <n v="869"/>
    <n v="5.1939513477975013E-3"/>
    <n v="1.1250265787795024"/>
  </r>
  <r>
    <d v="2025-01-27T00:00:00"/>
    <x v="2"/>
    <n v="819"/>
    <n v="101"/>
    <n v="194811"/>
    <n v="3.35"/>
    <n v="22244"/>
    <n v="718"/>
    <n v="3.685623501752981E-3"/>
    <n v="4.8504143044047101"/>
  </r>
  <r>
    <d v="2025-02-03T00:00:00"/>
    <x v="0"/>
    <n v="795"/>
    <n v="60"/>
    <n v="314982"/>
    <n v="7.31"/>
    <n v="6824"/>
    <n v="735"/>
    <n v="2.3334666742861497E-3"/>
    <n v="1.9929906542056075"/>
  </r>
  <r>
    <d v="2025-02-03T00:00:00"/>
    <x v="1"/>
    <n v="681"/>
    <n v="158"/>
    <n v="75960"/>
    <n v="3.13"/>
    <n v="24112"/>
    <n v="523"/>
    <n v="6.8852027382833069E-3"/>
    <n v="6.6296398130327194"/>
  </r>
  <r>
    <d v="2025-02-03T00:00:00"/>
    <x v="2"/>
    <n v="534"/>
    <n v="112"/>
    <n v="360759"/>
    <n v="4.8899999999999997"/>
    <n v="25478"/>
    <n v="422"/>
    <n v="1.1697559866836308E-3"/>
    <n v="5.8597056117755288"/>
  </r>
  <r>
    <d v="2025-02-10T00:00:00"/>
    <x v="0"/>
    <n v="1066"/>
    <n v="151"/>
    <n v="297090"/>
    <n v="8.6300000000000008"/>
    <n v="11235"/>
    <n v="915"/>
    <n v="3.0798747854185599E-3"/>
    <n v="3.5142320925868002"/>
  </r>
  <r>
    <d v="2025-02-10T00:00:00"/>
    <x v="1"/>
    <n v="1270"/>
    <n v="162"/>
    <n v="92040"/>
    <n v="8.0299999999999994"/>
    <n v="6120"/>
    <n v="1108"/>
    <n v="1.2038244241634072E-2"/>
    <n v="1.094224924012158"/>
  </r>
  <r>
    <d v="2025-02-10T00:00:00"/>
    <x v="2"/>
    <n v="536"/>
    <n v="198"/>
    <n v="174610"/>
    <n v="7.85"/>
    <n v="20572"/>
    <n v="338"/>
    <n v="1.9357425118836263E-3"/>
    <n v="4.6416967509025273"/>
  </r>
  <r>
    <d v="2025-02-17T00:00:00"/>
    <x v="0"/>
    <n v="819"/>
    <n v="95"/>
    <n v="177376"/>
    <n v="6.12"/>
    <n v="14975"/>
    <n v="724"/>
    <n v="4.0817246978170664E-3"/>
    <n v="5.4653284671532845"/>
  </r>
  <r>
    <d v="2025-02-17T00:00:00"/>
    <x v="1"/>
    <n v="681"/>
    <n v="218"/>
    <n v="198882"/>
    <n v="7.16"/>
    <n v="22234"/>
    <n v="463"/>
    <n v="2.3280135960016494E-3"/>
    <n v="5.69081136421807"/>
  </r>
  <r>
    <d v="2025-02-17T00:00:00"/>
    <x v="2"/>
    <n v="646"/>
    <n v="290"/>
    <n v="336383"/>
    <n v="7.04"/>
    <n v="6532"/>
    <n v="356"/>
    <n v="1.0583174536168594E-3"/>
    <n v="2.5515625000000002"/>
  </r>
  <r>
    <d v="2025-02-24T00:00:00"/>
    <x v="0"/>
    <n v="645"/>
    <n v="267"/>
    <n v="346890"/>
    <n v="3.71"/>
    <n v="24858"/>
    <n v="378"/>
    <n v="1.0896826083196401E-3"/>
    <n v="5.3723795115625679"/>
  </r>
  <r>
    <d v="2025-02-24T00:00:00"/>
    <x v="1"/>
    <n v="886"/>
    <n v="250"/>
    <n v="168170"/>
    <n v="4.12"/>
    <n v="13883"/>
    <n v="636"/>
    <n v="3.7818873758696555E-3"/>
    <n v="3.5451991828396321"/>
  </r>
  <r>
    <d v="2025-02-24T00:00:00"/>
    <x v="2"/>
    <n v="978"/>
    <n v="279"/>
    <n v="368872"/>
    <n v="6.82"/>
    <n v="18654"/>
    <n v="699"/>
    <n v="1.8949662755644234E-3"/>
    <n v="5.1205050782322266"/>
  </r>
  <r>
    <d v="2025-03-03T00:00:00"/>
    <x v="0"/>
    <n v="1444"/>
    <n v="165"/>
    <n v="116436"/>
    <n v="8.2200000000000006"/>
    <n v="25234"/>
    <n v="1279"/>
    <n v="1.0984575217286749E-2"/>
    <n v="8.5859135760462735"/>
  </r>
  <r>
    <d v="2025-03-03T00:00:00"/>
    <x v="1"/>
    <n v="1234"/>
    <n v="228"/>
    <n v="127502"/>
    <n v="7.71"/>
    <n v="6772"/>
    <n v="1006"/>
    <n v="7.8900723125911749E-3"/>
    <n v="1.2261452109360855"/>
  </r>
  <r>
    <d v="2025-03-03T00:00:00"/>
    <x v="2"/>
    <n v="665"/>
    <n v="187"/>
    <n v="274567"/>
    <n v="7.39"/>
    <n v="22428"/>
    <n v="478"/>
    <n v="1.7409229805475531E-3"/>
    <n v="7.7847969455050325"/>
  </r>
  <r>
    <d v="2025-03-10T00:00:00"/>
    <x v="0"/>
    <n v="631"/>
    <n v="86"/>
    <n v="295090"/>
    <n v="7.89"/>
    <n v="11911"/>
    <n v="545"/>
    <n v="1.8468941678809856E-3"/>
    <n v="2.1122539457350595"/>
  </r>
  <r>
    <d v="2025-03-10T00:00:00"/>
    <x v="1"/>
    <n v="1159"/>
    <n v="154"/>
    <n v="194994"/>
    <n v="6.39"/>
    <n v="21900"/>
    <n v="1005"/>
    <n v="5.1540047386073422E-3"/>
    <n v="8.8807785888077859"/>
  </r>
  <r>
    <d v="2025-03-10T00:00:00"/>
    <x v="2"/>
    <n v="950"/>
    <n v="185"/>
    <n v="340750"/>
    <n v="6.77"/>
    <n v="25542"/>
    <n v="765"/>
    <n v="2.2450476889214967E-3"/>
    <n v="9.4181415929203531"/>
  </r>
  <r>
    <d v="2025-03-17T00:00:00"/>
    <x v="0"/>
    <n v="693"/>
    <n v="129"/>
    <n v="296031"/>
    <n v="3.41"/>
    <n v="7140"/>
    <n v="564"/>
    <n v="1.9052058737091724E-3"/>
    <n v="2.3525535420098849"/>
  </r>
  <r>
    <d v="2025-03-17T00:00:00"/>
    <x v="1"/>
    <n v="576"/>
    <n v="80"/>
    <n v="345688"/>
    <n v="4.1100000000000003"/>
    <n v="20474"/>
    <n v="496"/>
    <n v="1.4348198375413667E-3"/>
    <n v="3.7157894736842105"/>
  </r>
  <r>
    <d v="2025-03-17T00:00:00"/>
    <x v="2"/>
    <n v="1274"/>
    <n v="146"/>
    <n v="263488"/>
    <n v="9.58"/>
    <n v="8698"/>
    <n v="1128"/>
    <n v="4.2810298761233904E-3"/>
    <n v="1.8892267593397045"/>
  </r>
  <r>
    <d v="2025-03-24T00:00:00"/>
    <x v="0"/>
    <n v="818"/>
    <n v="253"/>
    <n v="184911"/>
    <n v="3.39"/>
    <n v="10402"/>
    <n v="565"/>
    <n v="3.0555240088474996E-3"/>
    <n v="2.3013274336283187"/>
  </r>
  <r>
    <d v="2025-03-24T00:00:00"/>
    <x v="1"/>
    <n v="975"/>
    <n v="162"/>
    <n v="124497"/>
    <n v="9.58"/>
    <n v="26618"/>
    <n v="813"/>
    <n v="6.5302778380201933E-3"/>
    <n v="6.3270739244116951"/>
  </r>
  <r>
    <d v="2025-03-24T00:00:00"/>
    <x v="2"/>
    <n v="1398"/>
    <n v="97"/>
    <n v="397607"/>
    <n v="5.09"/>
    <n v="7975"/>
    <n v="1301"/>
    <n v="3.2720751898231166E-3"/>
    <n v="1.5067069714717551"/>
  </r>
  <r>
    <d v="2025-03-31T00:00:00"/>
    <x v="0"/>
    <n v="591"/>
    <n v="155"/>
    <n v="138521"/>
    <n v="7.85"/>
    <n v="19054"/>
    <n v="436"/>
    <n v="3.1475371965261584E-3"/>
    <n v="4.4260162601626014"/>
  </r>
  <r>
    <d v="2025-03-31T00:00:00"/>
    <x v="1"/>
    <n v="1232"/>
    <n v="254"/>
    <n v="107718"/>
    <n v="9.7100000000000009"/>
    <n v="13740"/>
    <n v="978"/>
    <n v="9.0792625187990864E-3"/>
    <n v="2.7983706720977595"/>
  </r>
  <r>
    <d v="2025-03-31T00:00:00"/>
    <x v="2"/>
    <n v="1425"/>
    <n v="58"/>
    <n v="202234"/>
    <n v="6.67"/>
    <n v="18442"/>
    <n v="1367"/>
    <n v="6.7594964249334932E-3"/>
    <n v="3.9917748917748916"/>
  </r>
  <r>
    <d v="2025-04-07T00:00:00"/>
    <x v="0"/>
    <n v="1417"/>
    <n v="80"/>
    <n v="340987"/>
    <n v="6.13"/>
    <n v="10104"/>
    <n v="1337"/>
    <n v="3.9209705941868752E-3"/>
    <n v="2.94663167104112"/>
  </r>
  <r>
    <d v="2025-04-07T00:00:00"/>
    <x v="1"/>
    <n v="1222"/>
    <n v="208"/>
    <n v="340098"/>
    <n v="7.34"/>
    <n v="21771"/>
    <n v="1014"/>
    <n v="2.9814935695005556E-3"/>
    <n v="4.4331093463653026"/>
  </r>
  <r>
    <d v="2025-04-07T00:00:00"/>
    <x v="2"/>
    <n v="1071"/>
    <n v="131"/>
    <n v="254727"/>
    <n v="6.87"/>
    <n v="22191"/>
    <n v="940"/>
    <n v="3.6902252215116576E-3"/>
    <n v="4.7214893617021279"/>
  </r>
  <r>
    <d v="2025-04-14T00:00:00"/>
    <x v="0"/>
    <n v="772"/>
    <n v="82"/>
    <n v="345659"/>
    <n v="3.52"/>
    <n v="27753"/>
    <n v="690"/>
    <n v="1.9961869935398759E-3"/>
    <n v="5.3085309869931141"/>
  </r>
  <r>
    <d v="2025-04-14T00:00:00"/>
    <x v="1"/>
    <n v="1472"/>
    <n v="137"/>
    <n v="213950"/>
    <n v="6.96"/>
    <n v="23736"/>
    <n v="1335"/>
    <n v="6.2397756485160086E-3"/>
    <n v="5.222442244224422"/>
  </r>
  <r>
    <d v="2025-04-14T00:00:00"/>
    <x v="2"/>
    <n v="1472"/>
    <n v="281"/>
    <n v="258115"/>
    <n v="7.23"/>
    <n v="27393"/>
    <n v="1191"/>
    <n v="4.6142223427541986E-3"/>
    <n v="5.1616732617297911"/>
  </r>
  <r>
    <d v="2025-04-21T00:00:00"/>
    <x v="0"/>
    <n v="585"/>
    <n v="232"/>
    <n v="321258"/>
    <n v="7.42"/>
    <n v="10343"/>
    <n v="353"/>
    <n v="1.0988053215795403E-3"/>
    <n v="2.0636472466081406"/>
  </r>
  <r>
    <d v="2025-04-21T00:00:00"/>
    <x v="1"/>
    <n v="747"/>
    <n v="261"/>
    <n v="338650"/>
    <n v="7.73"/>
    <n v="25259"/>
    <n v="486"/>
    <n v="1.4351099955706482E-3"/>
    <n v="7.8517252098228161"/>
  </r>
  <r>
    <d v="2025-04-21T00:00:00"/>
    <x v="2"/>
    <n v="1113"/>
    <n v="224"/>
    <n v="272989"/>
    <n v="5.13"/>
    <n v="24827"/>
    <n v="889"/>
    <n v="3.2565414723670183E-3"/>
    <n v="7.1754335260115605"/>
  </r>
  <r>
    <d v="2025-04-28T00:00:00"/>
    <x v="0"/>
    <n v="1100"/>
    <n v="117"/>
    <n v="260204"/>
    <n v="4.4000000000000004"/>
    <n v="11908"/>
    <n v="983"/>
    <n v="3.7778051067623862E-3"/>
    <n v="2.3835068054443553"/>
  </r>
  <r>
    <d v="2025-04-28T00:00:00"/>
    <x v="1"/>
    <n v="751"/>
    <n v="170"/>
    <n v="283278"/>
    <n v="3.49"/>
    <n v="11005"/>
    <n v="581"/>
    <n v="2.0509887813384732E-3"/>
    <n v="2.8038216560509555"/>
  </r>
  <r>
    <d v="2025-04-28T00:00:00"/>
    <x v="2"/>
    <n v="864"/>
    <n v="50"/>
    <n v="277445"/>
    <n v="3.57"/>
    <n v="26333"/>
    <n v="814"/>
    <n v="2.9339148299662998E-3"/>
    <n v="14.295874049945711"/>
  </r>
  <r>
    <d v="2025-05-05T00:00:00"/>
    <x v="0"/>
    <n v="1146"/>
    <n v="227"/>
    <n v="353781"/>
    <n v="6.41"/>
    <n v="5495"/>
    <n v="919"/>
    <n v="2.5976522198761379E-3"/>
    <n v="2.1659440283799762"/>
  </r>
  <r>
    <d v="2025-05-05T00:00:00"/>
    <x v="1"/>
    <n v="883"/>
    <n v="207"/>
    <n v="265019"/>
    <n v="6.04"/>
    <n v="15655"/>
    <n v="676"/>
    <n v="2.5507605115104954E-3"/>
    <n v="6.112846544318626"/>
  </r>
  <r>
    <d v="2025-05-05T00:00:00"/>
    <x v="2"/>
    <n v="622"/>
    <n v="163"/>
    <n v="231925"/>
    <n v="9.18"/>
    <n v="13763"/>
    <n v="459"/>
    <n v="1.9790880672631238E-3"/>
    <n v="2.7542525515309184"/>
  </r>
  <r>
    <d v="2025-05-12T00:00:00"/>
    <x v="0"/>
    <n v="837"/>
    <n v="261"/>
    <n v="366149"/>
    <n v="6.54"/>
    <n v="26073"/>
    <n v="576"/>
    <n v="1.5731300645365684E-3"/>
    <n v="6.7250451379932938"/>
  </r>
  <r>
    <d v="2025-05-12T00:00:00"/>
    <x v="1"/>
    <n v="544"/>
    <n v="97"/>
    <n v="168375"/>
    <n v="8.66"/>
    <n v="12774"/>
    <n v="447"/>
    <n v="2.6547884187082403E-3"/>
    <n v="2.7909110771247541"/>
  </r>
  <r>
    <d v="2025-05-12T00:00:00"/>
    <x v="2"/>
    <n v="624"/>
    <n v="247"/>
    <n v="252763"/>
    <n v="3.89"/>
    <n v="19000"/>
    <n v="377"/>
    <n v="1.4915157677349929E-3"/>
    <n v="3.8213998390989543"/>
  </r>
  <r>
    <d v="2025-05-19T00:00:00"/>
    <x v="0"/>
    <n v="1073"/>
    <n v="141"/>
    <n v="118393"/>
    <n v="7.95"/>
    <n v="14051"/>
    <n v="932"/>
    <n v="7.872087032172511E-3"/>
    <n v="2.9055004135649298"/>
  </r>
  <r>
    <d v="2025-05-19T00:00:00"/>
    <x v="1"/>
    <n v="1430"/>
    <n v="74"/>
    <n v="327012"/>
    <n v="6.66"/>
    <n v="27782"/>
    <n v="1356"/>
    <n v="4.1466368206671319E-3"/>
    <n v="8.5090352220520682"/>
  </r>
  <r>
    <d v="2025-05-19T00:00:00"/>
    <x v="2"/>
    <n v="1358"/>
    <n v="77"/>
    <n v="169688"/>
    <n v="5.25"/>
    <n v="7859"/>
    <n v="1281"/>
    <n v="7.5491490264485411E-3"/>
    <n v="2.0546405228758169"/>
  </r>
  <r>
    <d v="2025-05-26T00:00:00"/>
    <x v="0"/>
    <n v="1242"/>
    <n v="201"/>
    <n v="271935"/>
    <n v="5.07"/>
    <n v="15773"/>
    <n v="1041"/>
    <n v="3.8281206906062111E-3"/>
    <n v="3.9840868906289466"/>
  </r>
  <r>
    <d v="2025-05-26T00:00:00"/>
    <x v="1"/>
    <n v="1389"/>
    <n v="205"/>
    <n v="315981"/>
    <n v="7.62"/>
    <n v="20595"/>
    <n v="1184"/>
    <n v="3.7470607409939207E-3"/>
    <n v="6.5967328635490068"/>
  </r>
  <r>
    <d v="2025-05-26T00:00:00"/>
    <x v="2"/>
    <n v="826"/>
    <n v="142"/>
    <n v="341016"/>
    <n v="7.44"/>
    <n v="12031"/>
    <n v="684"/>
    <n v="2.005770990217468E-3"/>
    <n v="4.6631782945736431"/>
  </r>
  <r>
    <d v="2025-06-02T00:00:00"/>
    <x v="0"/>
    <n v="618"/>
    <n v="264"/>
    <n v="285164"/>
    <n v="4.8600000000000003"/>
    <n v="15128"/>
    <n v="354"/>
    <n v="1.2413909189098204E-3"/>
    <n v="3.4303854875283446"/>
  </r>
  <r>
    <d v="2025-06-02T00:00:00"/>
    <x v="1"/>
    <n v="1419"/>
    <n v="293"/>
    <n v="116632"/>
    <n v="6.93"/>
    <n v="11826"/>
    <n v="1126"/>
    <n v="9.6542972769051369E-3"/>
    <n v="4.4676992822062713"/>
  </r>
  <r>
    <d v="2025-06-02T00:00:00"/>
    <x v="2"/>
    <n v="637"/>
    <n v="68"/>
    <n v="115694"/>
    <n v="9.99"/>
    <n v="12562"/>
    <n v="569"/>
    <n v="4.9181461441388493E-3"/>
    <n v="3.207865168539326"/>
  </r>
  <r>
    <d v="2025-06-09T00:00:00"/>
    <x v="0"/>
    <n v="917"/>
    <n v="187"/>
    <n v="64444"/>
    <n v="5.22"/>
    <n v="13013"/>
    <n v="730"/>
    <n v="1.1327664328719508E-2"/>
    <n v="5.5969892473118277"/>
  </r>
  <r>
    <d v="2025-06-09T00:00:00"/>
    <x v="1"/>
    <n v="810"/>
    <n v="232"/>
    <n v="362559"/>
    <n v="5.17"/>
    <n v="12937"/>
    <n v="578"/>
    <n v="1.5942232850377457E-3"/>
    <n v="6.6005102040816324"/>
  </r>
  <r>
    <d v="2025-06-09T00:00:00"/>
    <x v="2"/>
    <n v="1183"/>
    <n v="248"/>
    <n v="226881"/>
    <n v="5.17"/>
    <n v="14534"/>
    <n v="935"/>
    <n v="4.1211031333606603E-3"/>
    <n v="2.9337908760597498"/>
  </r>
  <r>
    <d v="2025-06-16T00:00:00"/>
    <x v="0"/>
    <n v="765"/>
    <n v="67"/>
    <n v="283537"/>
    <n v="6.18"/>
    <n v="8182"/>
    <n v="698"/>
    <n v="2.4617598408673293E-3"/>
    <n v="2.2614704256495299"/>
  </r>
  <r>
    <d v="2025-06-16T00:00:00"/>
    <x v="1"/>
    <n v="540"/>
    <n v="215"/>
    <n v="62837"/>
    <n v="5.3"/>
    <n v="10615"/>
    <n v="325"/>
    <n v="5.1721119722456512E-3"/>
    <n v="5.026041666666667"/>
  </r>
  <r>
    <d v="2025-06-16T00:00:00"/>
    <x v="2"/>
    <n v="1145"/>
    <n v="151"/>
    <n v="182759"/>
    <n v="5.99"/>
    <n v="20109"/>
    <n v="994"/>
    <n v="5.4388566363352828E-3"/>
    <n v="5.3911528150134052"/>
  </r>
  <r>
    <d v="2025-06-23T00:00:00"/>
    <x v="0"/>
    <n v="564"/>
    <n v="244"/>
    <n v="279405"/>
    <n v="8.43"/>
    <n v="26024"/>
    <n v="320"/>
    <n v="1.1452908859898713E-3"/>
    <n v="8.3813204508856689"/>
  </r>
  <r>
    <d v="2025-06-23T00:00:00"/>
    <x v="1"/>
    <n v="668"/>
    <n v="124"/>
    <n v="257485"/>
    <n v="7.55"/>
    <n v="26730"/>
    <n v="544"/>
    <n v="2.1127444317144686E-3"/>
    <n v="10.437329168293635"/>
  </r>
  <r>
    <d v="2025-06-23T00:00:00"/>
    <x v="2"/>
    <n v="761"/>
    <n v="241"/>
    <n v="154977"/>
    <n v="5.63"/>
    <n v="10563"/>
    <n v="520"/>
    <n v="3.3553365983339462E-3"/>
    <n v="2.4445730155056702"/>
  </r>
  <r>
    <d v="2025-06-30T00:00:00"/>
    <x v="0"/>
    <n v="593"/>
    <n v="108"/>
    <n v="216500"/>
    <n v="4.71"/>
    <n v="27575"/>
    <n v="485"/>
    <n v="2.2401847575057735E-3"/>
    <n v="6.7735200196511913"/>
  </r>
  <r>
    <d v="2025-06-30T00:00:00"/>
    <x v="1"/>
    <n v="1349"/>
    <n v="115"/>
    <n v="102102"/>
    <n v="5.28"/>
    <n v="14479"/>
    <n v="1234"/>
    <n v="1.208595326242385E-2"/>
    <n v="4.8915540540540539"/>
  </r>
  <r>
    <d v="2025-06-30T00:00:00"/>
    <x v="2"/>
    <n v="693"/>
    <n v="97"/>
    <n v="92025"/>
    <n v="5.95"/>
    <n v="15915"/>
    <n v="596"/>
    <n v="6.4765009508285796E-3"/>
    <n v="9.5815773630343166"/>
  </r>
  <r>
    <d v="2025-07-07T00:00:00"/>
    <x v="0"/>
    <n v="974"/>
    <n v="143"/>
    <n v="247965"/>
    <n v="9.98"/>
    <n v="12767"/>
    <n v="831"/>
    <n v="3.3512794144334888E-3"/>
    <n v="3.8327829480636444"/>
  </r>
  <r>
    <d v="2025-07-07T00:00:00"/>
    <x v="1"/>
    <n v="1155"/>
    <n v="122"/>
    <n v="387352"/>
    <n v="9.93"/>
    <n v="12170"/>
    <n v="1033"/>
    <n v="2.6668250067122413E-3"/>
    <n v="2.6251078515962036"/>
  </r>
  <r>
    <d v="2025-07-07T00:00:00"/>
    <x v="2"/>
    <n v="1051"/>
    <n v="246"/>
    <n v="253985"/>
    <n v="9.08"/>
    <n v="7245"/>
    <n v="805"/>
    <n v="3.1694785125105812E-3"/>
    <n v="1.6372881355932203"/>
  </r>
  <r>
    <d v="2025-07-14T00:00:00"/>
    <x v="0"/>
    <n v="1457"/>
    <n v="183"/>
    <n v="129640"/>
    <n v="7.98"/>
    <n v="12985"/>
    <n v="1274"/>
    <n v="9.827213822894169E-3"/>
    <n v="4.1196065989847712"/>
  </r>
  <r>
    <d v="2025-07-14T00:00:00"/>
    <x v="1"/>
    <n v="670"/>
    <n v="242"/>
    <n v="281913"/>
    <n v="9.6199999999999992"/>
    <n v="16377"/>
    <n v="428"/>
    <n v="1.5181988769584942E-3"/>
    <n v="3.6152317880794702"/>
  </r>
  <r>
    <d v="2025-07-14T00:00:00"/>
    <x v="2"/>
    <n v="1111"/>
    <n v="159"/>
    <n v="360770"/>
    <n v="8.7100000000000009"/>
    <n v="11453"/>
    <n v="952"/>
    <n v="2.6388003437092886E-3"/>
    <n v="3.7136835278858626"/>
  </r>
  <r>
    <d v="2025-07-21T00:00:00"/>
    <x v="0"/>
    <n v="1197"/>
    <n v="246"/>
    <n v="127273"/>
    <n v="6.69"/>
    <n v="12323"/>
    <n v="951"/>
    <n v="7.4721268454424738E-3"/>
    <n v="3.6653777513384891"/>
  </r>
  <r>
    <d v="2025-07-21T00:00:00"/>
    <x v="1"/>
    <n v="754"/>
    <n v="150"/>
    <n v="189622"/>
    <n v="4.25"/>
    <n v="11911"/>
    <n v="604"/>
    <n v="3.1852844079273504E-3"/>
    <n v="3.046291560102302"/>
  </r>
  <r>
    <d v="2025-07-21T00:00:00"/>
    <x v="2"/>
    <n v="1246"/>
    <n v="107"/>
    <n v="350949"/>
    <n v="4.9800000000000004"/>
    <n v="27809"/>
    <n v="1139"/>
    <n v="3.2454858113287115E-3"/>
    <n v="6.0546483779664708"/>
  </r>
  <r>
    <d v="2025-07-28T00:00:00"/>
    <x v="0"/>
    <n v="780"/>
    <n v="213"/>
    <n v="121431"/>
    <n v="4.97"/>
    <n v="21464"/>
    <n v="567"/>
    <n v="4.669318378338316E-3"/>
    <n v="8.8767576509512001"/>
  </r>
  <r>
    <d v="2025-07-28T00:00:00"/>
    <x v="1"/>
    <n v="1425"/>
    <n v="143"/>
    <n v="116742"/>
    <n v="3.71"/>
    <n v="27126"/>
    <n v="1282"/>
    <n v="1.0981480529715098E-2"/>
    <n v="16.723797780517881"/>
  </r>
  <r>
    <d v="2025-07-28T00:00:00"/>
    <x v="2"/>
    <n v="1490"/>
    <n v="103"/>
    <n v="81184"/>
    <n v="7.79"/>
    <n v="10681"/>
    <n v="1387"/>
    <n v="1.7084647221127316E-2"/>
    <n v="2.3557565063961183"/>
  </r>
  <r>
    <d v="2025-08-04T00:00:00"/>
    <x v="0"/>
    <n v="949"/>
    <n v="282"/>
    <n v="87126"/>
    <n v="4.96"/>
    <n v="5413"/>
    <n v="667"/>
    <n v="7.6555792759910937E-3"/>
    <n v="1.280577241542465"/>
  </r>
  <r>
    <d v="2025-08-04T00:00:00"/>
    <x v="1"/>
    <n v="640"/>
    <n v="141"/>
    <n v="267546"/>
    <n v="8.58"/>
    <n v="25058"/>
    <n v="499"/>
    <n v="1.8650998332996943E-3"/>
    <n v="7.3765086841330589"/>
  </r>
  <r>
    <d v="2025-08-04T00:00:00"/>
    <x v="2"/>
    <n v="616"/>
    <n v="93"/>
    <n v="133082"/>
    <n v="8.51"/>
    <n v="18303"/>
    <n v="523"/>
    <n v="3.9299078763469142E-3"/>
    <n v="6.2191641182466872"/>
  </r>
  <r>
    <d v="2025-08-11T00:00:00"/>
    <x v="0"/>
    <n v="1080"/>
    <n v="184"/>
    <n v="340557"/>
    <n v="5.41"/>
    <n v="5526"/>
    <n v="896"/>
    <n v="2.6309839468870114E-3"/>
    <n v="1.6945722171113156"/>
  </r>
  <r>
    <d v="2025-08-11T00:00:00"/>
    <x v="1"/>
    <n v="938"/>
    <n v="236"/>
    <n v="116472"/>
    <n v="8.7200000000000006"/>
    <n v="17460"/>
    <n v="702"/>
    <n v="6.0271996703070265E-3"/>
    <n v="7.2358060505594697"/>
  </r>
  <r>
    <d v="2025-08-11T00:00:00"/>
    <x v="2"/>
    <n v="1007"/>
    <n v="258"/>
    <n v="113412"/>
    <n v="7.71"/>
    <n v="14475"/>
    <n v="749"/>
    <n v="6.6042394102916796E-3"/>
    <n v="6.3907284768211925"/>
  </r>
  <r>
    <d v="2025-08-18T00:00:00"/>
    <x v="0"/>
    <n v="541"/>
    <n v="208"/>
    <n v="157547"/>
    <n v="8.35"/>
    <n v="20162"/>
    <n v="333"/>
    <n v="2.1136549728017671E-3"/>
    <n v="4.5864422202001816"/>
  </r>
  <r>
    <d v="2025-08-18T00:00:00"/>
    <x v="1"/>
    <n v="745"/>
    <n v="98"/>
    <n v="354816"/>
    <n v="4.03"/>
    <n v="17103"/>
    <n v="647"/>
    <n v="1.823480339105339E-3"/>
    <n v="3.9444188191881917"/>
  </r>
  <r>
    <d v="2025-08-18T00:00:00"/>
    <x v="2"/>
    <n v="936"/>
    <n v="97"/>
    <n v="151799"/>
    <n v="9.3699999999999992"/>
    <n v="15461"/>
    <n v="839"/>
    <n v="5.5270456327116777E-3"/>
    <n v="3.4963817277250113"/>
  </r>
  <r>
    <d v="2025-08-25T00:00:00"/>
    <x v="0"/>
    <n v="1183"/>
    <n v="223"/>
    <n v="143811"/>
    <n v="6.07"/>
    <n v="22103"/>
    <n v="960"/>
    <n v="6.6754281661347186E-3"/>
    <n v="6.5900417412045318"/>
  </r>
  <r>
    <d v="2025-08-25T00:00:00"/>
    <x v="1"/>
    <n v="1413"/>
    <n v="245"/>
    <n v="296450"/>
    <n v="6.52"/>
    <n v="11625"/>
    <n v="1168"/>
    <n v="3.9399561477483558E-3"/>
    <n v="4.2566825338703769"/>
  </r>
  <r>
    <d v="2025-08-25T00:00:00"/>
    <x v="2"/>
    <n v="791"/>
    <n v="273"/>
    <n v="144049"/>
    <n v="3.08"/>
    <n v="5281"/>
    <n v="518"/>
    <n v="3.5959985838152297E-3"/>
    <n v="1.5482263265904428"/>
  </r>
  <r>
    <d v="2025-09-01T00:00:00"/>
    <x v="0"/>
    <n v="1052"/>
    <n v="180"/>
    <n v="272534"/>
    <n v="5.34"/>
    <n v="13424"/>
    <n v="872"/>
    <n v="3.1996007837554212E-3"/>
    <n v="4.7585962424672106"/>
  </r>
  <r>
    <d v="2025-09-01T00:00:00"/>
    <x v="1"/>
    <n v="572"/>
    <n v="270"/>
    <n v="82265"/>
    <n v="3.65"/>
    <n v="13140"/>
    <n v="302"/>
    <n v="3.6710630280192063E-3"/>
    <n v="3.2436435448037519"/>
  </r>
  <r>
    <d v="2025-09-01T00:00:00"/>
    <x v="2"/>
    <n v="503"/>
    <n v="253"/>
    <n v="313562"/>
    <n v="4.18"/>
    <n v="19538"/>
    <n v="250"/>
    <n v="7.9729048800556194E-4"/>
    <n v="5.3397103033615743"/>
  </r>
  <r>
    <d v="2025-09-08T00:00:00"/>
    <x v="0"/>
    <n v="1017"/>
    <n v="197"/>
    <n v="89918"/>
    <n v="3.91"/>
    <n v="7881"/>
    <n v="820"/>
    <n v="9.1194199159233963E-3"/>
    <n v="2.79666430092264"/>
  </r>
  <r>
    <d v="2025-09-08T00:00:00"/>
    <x v="1"/>
    <n v="860"/>
    <n v="244"/>
    <n v="348686"/>
    <n v="5.12"/>
    <n v="11418"/>
    <n v="616"/>
    <n v="1.7666324429429343E-3"/>
    <n v="2.882605402676091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d v="2024-12-19T00:00:00"/>
    <s v="Story"/>
    <s v="Get into the groove with our new drop!"/>
    <n v="4674"/>
    <n v="409"/>
    <n v="327"/>
    <n v="20756"/>
    <n v="63599"/>
    <n v="212"/>
    <x v="0"/>
    <x v="0"/>
    <n v="0.26064752360763155"/>
    <x v="0"/>
  </r>
  <r>
    <x v="1"/>
    <x v="0"/>
    <d v="2025-01-20T00:00:00"/>
    <s v="Story"/>
    <s v="New music just dropped. Hit play!"/>
    <n v="4619"/>
    <n v="272"/>
    <n v="57"/>
    <n v="21334"/>
    <n v="46292"/>
    <n v="91"/>
    <x v="0"/>
    <x v="0"/>
    <n v="0.23193025217961938"/>
    <x v="1"/>
  </r>
  <r>
    <x v="2"/>
    <x v="0"/>
    <d v="2024-06-16T00:00:00"/>
    <s v="Story"/>
    <s v="Explore the latest podcasts now."/>
    <n v="4618"/>
    <n v="312"/>
    <n v="254"/>
    <n v="22571"/>
    <n v="29453"/>
    <n v="197"/>
    <x v="1"/>
    <x v="0"/>
    <n v="0.22967524699836073"/>
    <x v="0"/>
  </r>
  <r>
    <x v="3"/>
    <x v="0"/>
    <d v="2025-01-19T00:00:00"/>
    <s v="Story"/>
    <s v="New music just dropped. Hit play!"/>
    <n v="3507"/>
    <n v="295"/>
    <n v="371"/>
    <n v="20410"/>
    <n v="53965"/>
    <n v="212"/>
    <x v="0"/>
    <x v="0"/>
    <n v="0.20445859872611466"/>
    <x v="1"/>
  </r>
  <r>
    <x v="4"/>
    <x v="0"/>
    <d v="2025-04-22T00:00:00"/>
    <s v="Text"/>
    <s v="Discover fresh beats on Spotify!"/>
    <n v="4401"/>
    <n v="421"/>
    <n v="216"/>
    <n v="24890"/>
    <n v="54361"/>
    <n v="148"/>
    <x v="2"/>
    <x v="0"/>
    <n v="0.20241060666934513"/>
    <x v="1"/>
  </r>
  <r>
    <x v="5"/>
    <x v="1"/>
    <d v="2025-06-15T00:00:00"/>
    <s v="Text"/>
    <s v="Whatâ€™s your vibe today? #SpotifyHits"/>
    <n v="4896"/>
    <n v="466"/>
    <n v="233"/>
    <n v="28621"/>
    <n v="34270"/>
    <n v="84"/>
    <x v="0"/>
    <x v="0"/>
    <n v="0.19548583208133888"/>
    <x v="1"/>
  </r>
  <r>
    <x v="6"/>
    <x v="2"/>
    <d v="2025-03-02T00:00:00"/>
    <s v="Text"/>
    <s v="From pop to podcasts, itâ€™s all here."/>
    <n v="4425"/>
    <n v="185"/>
    <n v="162"/>
    <n v="24610"/>
    <n v="21342"/>
    <n v="158"/>
    <x v="3"/>
    <x v="1"/>
    <n v="0.19390491670052823"/>
    <x v="1"/>
  </r>
  <r>
    <x v="7"/>
    <x v="2"/>
    <d v="2024-06-14T00:00:00"/>
    <s v="Reel"/>
    <s v="Wrapped is here! Relive your top tracks ðŸŽ§"/>
    <n v="4722"/>
    <n v="310"/>
    <n v="344"/>
    <n v="27911"/>
    <n v="19000"/>
    <n v="225"/>
    <x v="3"/>
    <x v="2"/>
    <n v="0.19261223173659131"/>
    <x v="0"/>
  </r>
  <r>
    <x v="8"/>
    <x v="0"/>
    <d v="2024-11-19T00:00:00"/>
    <s v="Text"/>
    <s v="Top trending tracks updated daily!"/>
    <n v="3728"/>
    <n v="271"/>
    <n v="275"/>
    <n v="22827"/>
    <n v="37034"/>
    <n v="199"/>
    <x v="2"/>
    <x v="0"/>
    <n v="0.18723441538528934"/>
    <x v="0"/>
  </r>
  <r>
    <x v="9"/>
    <x v="0"/>
    <d v="2024-03-28T00:00:00"/>
    <s v="Text"/>
    <s v="Music that moves youâ€”only on Spotify."/>
    <n v="3276"/>
    <n v="421"/>
    <n v="114"/>
    <n v="20580"/>
    <n v="30324"/>
    <n v="221"/>
    <x v="0"/>
    <x v="1"/>
    <n v="0.18517978620019437"/>
    <x v="0"/>
  </r>
  <r>
    <x v="10"/>
    <x v="0"/>
    <d v="2025-02-17T00:00:00"/>
    <s v="Story"/>
    <s v="Whatâ€™s your vibe today? #SpotifyHits"/>
    <n v="4796"/>
    <n v="427"/>
    <n v="339"/>
    <n v="30752"/>
    <n v="33870"/>
    <n v="298"/>
    <x v="0"/>
    <x v="0"/>
    <n v="0.18086628511966701"/>
    <x v="1"/>
  </r>
  <r>
    <x v="11"/>
    <x v="1"/>
    <d v="2025-06-24T00:00:00"/>
    <s v="Story"/>
    <s v="Get into the groove with our new drop!"/>
    <n v="4902"/>
    <n v="422"/>
    <n v="376"/>
    <n v="31674"/>
    <n v="53225"/>
    <n v="147"/>
    <x v="2"/>
    <x v="3"/>
    <n v="0.17995832544042431"/>
    <x v="1"/>
  </r>
  <r>
    <x v="12"/>
    <x v="0"/>
    <d v="2025-05-15T00:00:00"/>
    <s v="Text"/>
    <s v="Your weekend playlist is waiting."/>
    <n v="4782"/>
    <n v="210"/>
    <n v="311"/>
    <n v="29793"/>
    <n v="37543"/>
    <n v="145"/>
    <x v="2"/>
    <x v="0"/>
    <n v="0.17799483100057059"/>
    <x v="1"/>
  </r>
  <r>
    <x v="13"/>
    <x v="2"/>
    <d v="2024-04-02T00:00:00"/>
    <s v="Reel"/>
    <s v="Your weekend playlist is waiting."/>
    <n v="4563"/>
    <n v="488"/>
    <n v="356"/>
    <n v="30619"/>
    <n v="23328"/>
    <n v="267"/>
    <x v="3"/>
    <x v="2"/>
    <n v="0.17658969920637513"/>
    <x v="0"/>
  </r>
  <r>
    <x v="14"/>
    <x v="0"/>
    <d v="2024-07-22T00:00:00"/>
    <s v="Story"/>
    <s v="Wrapped is here! Relive your top tracks ðŸŽ§"/>
    <n v="3336"/>
    <n v="229"/>
    <n v="337"/>
    <n v="22117"/>
    <n v="26205"/>
    <n v="160"/>
    <x v="1"/>
    <x v="0"/>
    <n v="0.17642537414658407"/>
    <x v="0"/>
  </r>
  <r>
    <x v="15"/>
    <x v="0"/>
    <d v="2024-11-10T00:00:00"/>
    <s v="Text"/>
    <s v="Explore the latest podcasts now."/>
    <n v="4823"/>
    <n v="489"/>
    <n v="302"/>
    <n v="32470"/>
    <n v="31861"/>
    <n v="178"/>
    <x v="0"/>
    <x v="1"/>
    <n v="0.1728980597474592"/>
    <x v="0"/>
  </r>
  <r>
    <x v="16"/>
    <x v="0"/>
    <d v="2024-12-13T00:00:00"/>
    <s v="Story"/>
    <s v="New music just dropped. Hit play!"/>
    <n v="4984"/>
    <n v="300"/>
    <n v="338"/>
    <n v="32900"/>
    <n v="31691"/>
    <n v="160"/>
    <x v="1"/>
    <x v="0"/>
    <n v="0.17088145896656534"/>
    <x v="0"/>
  </r>
  <r>
    <x v="17"/>
    <x v="0"/>
    <d v="2024-02-02T00:00:00"/>
    <s v="Text"/>
    <s v="From pop to podcasts, itâ€™s all here."/>
    <n v="3818"/>
    <n v="115"/>
    <n v="286"/>
    <n v="25127"/>
    <n v="22277"/>
    <n v="263"/>
    <x v="2"/>
    <x v="0"/>
    <n v="0.16790703227603773"/>
    <x v="0"/>
  </r>
  <r>
    <x v="18"/>
    <x v="0"/>
    <d v="2024-07-23T00:00:00"/>
    <s v="Text"/>
    <s v="Top trending tracks updated daily!"/>
    <n v="3204"/>
    <n v="398"/>
    <n v="85"/>
    <n v="22020"/>
    <n v="58353"/>
    <n v="286"/>
    <x v="0"/>
    <x v="1"/>
    <n v="0.16743869209809265"/>
    <x v="0"/>
  </r>
  <r>
    <x v="19"/>
    <x v="2"/>
    <d v="2024-07-20T00:00:00"/>
    <s v="Reel"/>
    <s v="Music that moves youâ€”only on Spotify."/>
    <n v="4955"/>
    <n v="299"/>
    <n v="345"/>
    <n v="33644"/>
    <n v="43547"/>
    <n v="194"/>
    <x v="3"/>
    <x v="2"/>
    <n v="0.16641897515158721"/>
    <x v="0"/>
  </r>
  <r>
    <x v="20"/>
    <x v="0"/>
    <d v="2024-04-05T00:00:00"/>
    <s v="Story"/>
    <s v="New music just dropped. Hit play!"/>
    <n v="4965"/>
    <n v="175"/>
    <n v="307"/>
    <n v="32793"/>
    <n v="43412"/>
    <n v="296"/>
    <x v="0"/>
    <x v="0"/>
    <n v="0.16610252187966945"/>
    <x v="0"/>
  </r>
  <r>
    <x v="21"/>
    <x v="0"/>
    <d v="2024-07-08T00:00:00"/>
    <s v="Story"/>
    <s v="Top trending tracks updated daily!"/>
    <n v="2981"/>
    <n v="258"/>
    <n v="168"/>
    <n v="20677"/>
    <n v="68290"/>
    <n v="130"/>
    <x v="0"/>
    <x v="0"/>
    <n v="0.16477245248343569"/>
    <x v="0"/>
  </r>
  <r>
    <x v="22"/>
    <x v="2"/>
    <d v="2024-04-18T00:00:00"/>
    <s v="Text"/>
    <s v="Explore the latest podcasts now."/>
    <n v="4023"/>
    <n v="293"/>
    <n v="91"/>
    <n v="26795"/>
    <n v="28924"/>
    <n v="278"/>
    <x v="3"/>
    <x v="1"/>
    <n v="0.16447098339242397"/>
    <x v="0"/>
  </r>
  <r>
    <x v="23"/>
    <x v="0"/>
    <d v="2024-08-03T00:00:00"/>
    <s v="Text"/>
    <s v="Your weekend playlist is waiting."/>
    <n v="4247"/>
    <n v="390"/>
    <n v="213"/>
    <n v="29785"/>
    <n v="57768"/>
    <n v="122"/>
    <x v="2"/>
    <x v="0"/>
    <n v="0.16283364109451065"/>
    <x v="0"/>
  </r>
  <r>
    <x v="24"/>
    <x v="0"/>
    <d v="2024-10-09T00:00:00"/>
    <s v="Story"/>
    <s v="Discover fresh beats on Spotify!"/>
    <n v="4929"/>
    <n v="182"/>
    <n v="95"/>
    <n v="32181"/>
    <n v="31084"/>
    <n v="289"/>
    <x v="3"/>
    <x v="0"/>
    <n v="0.16177247444144061"/>
    <x v="0"/>
  </r>
  <r>
    <x v="25"/>
    <x v="2"/>
    <d v="2025-01-27T00:00:00"/>
    <s v="Text"/>
    <s v="Wrapped is here! Relive your top tracks ðŸŽ§"/>
    <n v="4294"/>
    <n v="423"/>
    <n v="93"/>
    <n v="29828"/>
    <n v="73144"/>
    <n v="298"/>
    <x v="3"/>
    <x v="1"/>
    <n v="0.1612578785034196"/>
    <x v="1"/>
  </r>
  <r>
    <x v="26"/>
    <x v="0"/>
    <d v="2025-03-21T00:00:00"/>
    <s v="Story"/>
    <s v="New music just dropped. Hit play!"/>
    <n v="4609"/>
    <n v="427"/>
    <n v="395"/>
    <n v="33698"/>
    <n v="29259"/>
    <n v="216"/>
    <x v="3"/>
    <x v="0"/>
    <n v="0.16116683482699271"/>
    <x v="1"/>
  </r>
  <r>
    <x v="27"/>
    <x v="0"/>
    <d v="2024-01-11T00:00:00"/>
    <s v="Text"/>
    <s v="Whatâ€™s your vibe today? #SpotifyHits"/>
    <n v="4218"/>
    <n v="247"/>
    <n v="183"/>
    <n v="28914"/>
    <n v="18310"/>
    <n v="135"/>
    <x v="0"/>
    <x v="1"/>
    <n v="0.1607525766064882"/>
    <x v="0"/>
  </r>
  <r>
    <x v="28"/>
    <x v="1"/>
    <d v="2024-06-26T00:00:00"/>
    <s v="Text"/>
    <s v="New music just dropped. Hit play!"/>
    <n v="3253"/>
    <n v="483"/>
    <n v="336"/>
    <n v="25397"/>
    <n v="51485"/>
    <n v="131"/>
    <x v="3"/>
    <x v="1"/>
    <n v="0.16033389770445328"/>
    <x v="0"/>
  </r>
  <r>
    <x v="29"/>
    <x v="1"/>
    <d v="2025-02-05T00:00:00"/>
    <s v="Story"/>
    <s v="Music that moves youâ€”only on Spotify."/>
    <n v="3074"/>
    <n v="371"/>
    <n v="348"/>
    <n v="24104"/>
    <n v="57803"/>
    <n v="213"/>
    <x v="2"/>
    <x v="3"/>
    <n v="0.15735977431131762"/>
    <x v="1"/>
  </r>
  <r>
    <x v="30"/>
    <x v="0"/>
    <d v="2024-08-13T00:00:00"/>
    <s v="Text"/>
    <s v="Explore the latest podcasts now."/>
    <n v="3418"/>
    <n v="107"/>
    <n v="221"/>
    <n v="23927"/>
    <n v="26182"/>
    <n v="155"/>
    <x v="0"/>
    <x v="1"/>
    <n v="0.1565595352530614"/>
    <x v="0"/>
  </r>
  <r>
    <x v="31"/>
    <x v="1"/>
    <d v="2025-05-26T00:00:00"/>
    <s v="Text"/>
    <s v="Discover fresh beats on Spotify!"/>
    <n v="3086"/>
    <n v="148"/>
    <n v="310"/>
    <n v="22824"/>
    <n v="58103"/>
    <n v="275"/>
    <x v="3"/>
    <x v="1"/>
    <n v="0.1552751489660007"/>
    <x v="1"/>
  </r>
  <r>
    <x v="32"/>
    <x v="0"/>
    <d v="2024-11-23T00:00:00"/>
    <s v="Text"/>
    <s v="New music just dropped. Hit play!"/>
    <n v="4318"/>
    <n v="371"/>
    <n v="329"/>
    <n v="32347"/>
    <n v="68956"/>
    <n v="259"/>
    <x v="0"/>
    <x v="1"/>
    <n v="0.15513030574705536"/>
    <x v="0"/>
  </r>
  <r>
    <x v="33"/>
    <x v="0"/>
    <d v="2025-02-03T00:00:00"/>
    <s v="Text"/>
    <s v="Whatâ€™s your vibe today? #SpotifyHits"/>
    <n v="4995"/>
    <n v="231"/>
    <n v="94"/>
    <n v="34431"/>
    <n v="32560"/>
    <n v="262"/>
    <x v="2"/>
    <x v="0"/>
    <n v="0.15451192239551567"/>
    <x v="1"/>
  </r>
  <r>
    <x v="34"/>
    <x v="1"/>
    <d v="2024-07-05T00:00:00"/>
    <s v="Text"/>
    <s v="Your weekend playlist is waiting."/>
    <n v="3753"/>
    <n v="411"/>
    <n v="308"/>
    <n v="29138"/>
    <n v="27678"/>
    <n v="90"/>
    <x v="3"/>
    <x v="1"/>
    <n v="0.15347655981879332"/>
    <x v="0"/>
  </r>
  <r>
    <x v="35"/>
    <x v="0"/>
    <d v="2024-09-04T00:00:00"/>
    <s v="Story"/>
    <s v="New music just dropped. Hit play!"/>
    <n v="2613"/>
    <n v="455"/>
    <n v="228"/>
    <n v="21645"/>
    <n v="61334"/>
    <n v="261"/>
    <x v="3"/>
    <x v="0"/>
    <n v="0.15227535227535227"/>
    <x v="0"/>
  </r>
  <r>
    <x v="36"/>
    <x v="0"/>
    <d v="2025-02-05T00:00:00"/>
    <s v="Story"/>
    <s v="Discover fresh beats on Spotify!"/>
    <n v="3029"/>
    <n v="440"/>
    <n v="66"/>
    <n v="23815"/>
    <n v="47895"/>
    <n v="210"/>
    <x v="3"/>
    <x v="0"/>
    <n v="0.14843585975225698"/>
    <x v="1"/>
  </r>
  <r>
    <x v="37"/>
    <x v="0"/>
    <d v="2025-01-03T00:00:00"/>
    <s v="Story"/>
    <s v="Get into the groove with our new drop!"/>
    <n v="4845"/>
    <n v="158"/>
    <n v="84"/>
    <n v="34578"/>
    <n v="51480"/>
    <n v="180"/>
    <x v="0"/>
    <x v="0"/>
    <n v="0.1471166637746544"/>
    <x v="1"/>
  </r>
  <r>
    <x v="38"/>
    <x v="1"/>
    <d v="2024-03-06T00:00:00"/>
    <s v="Text"/>
    <s v="Whatâ€™s your vibe today? #SpotifyHits"/>
    <n v="3529"/>
    <n v="263"/>
    <n v="107"/>
    <n v="26570"/>
    <n v="19367"/>
    <n v="96"/>
    <x v="3"/>
    <x v="1"/>
    <n v="0.14674444862627023"/>
    <x v="0"/>
  </r>
  <r>
    <x v="39"/>
    <x v="1"/>
    <d v="2024-02-12T00:00:00"/>
    <s v="Text"/>
    <s v="Explore the latest podcasts now."/>
    <n v="2923"/>
    <n v="330"/>
    <n v="250"/>
    <n v="23993"/>
    <n v="74590"/>
    <n v="92"/>
    <x v="3"/>
    <x v="1"/>
    <n v="0.14600091693410577"/>
    <x v="0"/>
  </r>
  <r>
    <x v="40"/>
    <x v="0"/>
    <d v="2024-10-26T00:00:00"/>
    <s v="Text"/>
    <s v="Discover fresh beats on Spotify!"/>
    <n v="3036"/>
    <n v="293"/>
    <n v="115"/>
    <n v="23776"/>
    <n v="46386"/>
    <n v="282"/>
    <x v="2"/>
    <x v="0"/>
    <n v="0.14485195154777927"/>
    <x v="0"/>
  </r>
  <r>
    <x v="41"/>
    <x v="0"/>
    <d v="2025-06-10T00:00:00"/>
    <s v="Text"/>
    <s v="Explore the latest podcasts now."/>
    <n v="3615"/>
    <n v="192"/>
    <n v="162"/>
    <n v="27492"/>
    <n v="35341"/>
    <n v="125"/>
    <x v="2"/>
    <x v="0"/>
    <n v="0.14436927106067218"/>
    <x v="1"/>
  </r>
  <r>
    <x v="42"/>
    <x v="0"/>
    <d v="2024-11-13T00:00:00"/>
    <s v="Story"/>
    <s v="Top trending tracks updated daily!"/>
    <n v="4628"/>
    <n v="257"/>
    <n v="397"/>
    <n v="36686"/>
    <n v="54683"/>
    <n v="98"/>
    <x v="0"/>
    <x v="0"/>
    <n v="0.1439786294499264"/>
    <x v="0"/>
  </r>
  <r>
    <x v="43"/>
    <x v="2"/>
    <d v="2024-01-13T00:00:00"/>
    <s v="Reel"/>
    <s v="New music just dropped. Hit play!"/>
    <n v="4781"/>
    <n v="191"/>
    <n v="122"/>
    <n v="35535"/>
    <n v="50777"/>
    <n v="128"/>
    <x v="3"/>
    <x v="2"/>
    <n v="0.14335162515829464"/>
    <x v="0"/>
  </r>
  <r>
    <x v="44"/>
    <x v="1"/>
    <d v="2024-03-22T00:00:00"/>
    <s v="Story"/>
    <s v="Discover fresh beats on Spotify!"/>
    <n v="2319"/>
    <n v="484"/>
    <n v="193"/>
    <n v="21202"/>
    <n v="18091"/>
    <n v="241"/>
    <x v="2"/>
    <x v="3"/>
    <n v="0.14130742382794076"/>
    <x v="0"/>
  </r>
  <r>
    <x v="45"/>
    <x v="1"/>
    <d v="2024-02-03T00:00:00"/>
    <s v="Story"/>
    <s v="Music that moves youâ€”only on Spotify."/>
    <n v="4281"/>
    <n v="101"/>
    <n v="163"/>
    <n v="32278"/>
    <n v="53382"/>
    <n v="235"/>
    <x v="2"/>
    <x v="3"/>
    <n v="0.1408079806679472"/>
    <x v="0"/>
  </r>
  <r>
    <x v="46"/>
    <x v="0"/>
    <d v="2024-07-11T00:00:00"/>
    <s v="Story"/>
    <s v="Get into the groove with our new drop!"/>
    <n v="4247"/>
    <n v="179"/>
    <n v="175"/>
    <n v="32991"/>
    <n v="70120"/>
    <n v="276"/>
    <x v="0"/>
    <x v="0"/>
    <n v="0.13946227759085811"/>
    <x v="0"/>
  </r>
  <r>
    <x v="47"/>
    <x v="1"/>
    <d v="2025-02-19T00:00:00"/>
    <s v="Story"/>
    <s v="From pop to podcasts, itâ€™s all here."/>
    <n v="2422"/>
    <n v="455"/>
    <n v="376"/>
    <n v="23428"/>
    <n v="46775"/>
    <n v="259"/>
    <x v="2"/>
    <x v="3"/>
    <n v="0.13885094758408742"/>
    <x v="1"/>
  </r>
  <r>
    <x v="48"/>
    <x v="1"/>
    <d v="2024-11-21T00:00:00"/>
    <s v="Text"/>
    <s v="Music that moves youâ€”only on Spotify."/>
    <n v="4581"/>
    <n v="181"/>
    <n v="112"/>
    <n v="35221"/>
    <n v="28797"/>
    <n v="164"/>
    <x v="0"/>
    <x v="0"/>
    <n v="0.13838335084182732"/>
    <x v="0"/>
  </r>
  <r>
    <x v="49"/>
    <x v="0"/>
    <d v="2024-03-16T00:00:00"/>
    <s v="Story"/>
    <s v="Wrapped is here! Relive your top tracks ðŸŽ§"/>
    <n v="2895"/>
    <n v="292"/>
    <n v="90"/>
    <n v="24223"/>
    <n v="54626"/>
    <n v="114"/>
    <x v="0"/>
    <x v="0"/>
    <n v="0.13528464682326713"/>
    <x v="0"/>
  </r>
  <r>
    <x v="50"/>
    <x v="0"/>
    <d v="2025-01-21T00:00:00"/>
    <s v="Story"/>
    <s v="Discover fresh beats on Spotify!"/>
    <n v="2494"/>
    <n v="494"/>
    <n v="55"/>
    <n v="22580"/>
    <n v="22214"/>
    <n v="109"/>
    <x v="1"/>
    <x v="0"/>
    <n v="0.13476527900797167"/>
    <x v="1"/>
  </r>
  <r>
    <x v="51"/>
    <x v="0"/>
    <d v="2025-04-12T00:00:00"/>
    <s v="Story"/>
    <s v="From pop to podcasts, itâ€™s all here."/>
    <n v="4315"/>
    <n v="208"/>
    <n v="273"/>
    <n v="35780"/>
    <n v="44349"/>
    <n v="133"/>
    <x v="3"/>
    <x v="0"/>
    <n v="0.13404136389044158"/>
    <x v="1"/>
  </r>
  <r>
    <x v="52"/>
    <x v="1"/>
    <d v="2025-05-04T00:00:00"/>
    <s v="Text"/>
    <s v="Discover fresh beats on Spotify!"/>
    <n v="2414"/>
    <n v="245"/>
    <n v="137"/>
    <n v="21181"/>
    <n v="45292"/>
    <n v="133"/>
    <x v="0"/>
    <x v="0"/>
    <n v="0.13200509890939993"/>
    <x v="1"/>
  </r>
  <r>
    <x v="53"/>
    <x v="2"/>
    <d v="2024-04-06T00:00:00"/>
    <s v="Text"/>
    <s v="Music that moves youâ€”only on Spotify."/>
    <n v="2748"/>
    <n v="145"/>
    <n v="315"/>
    <n v="24401"/>
    <n v="61182"/>
    <n v="200"/>
    <x v="3"/>
    <x v="1"/>
    <n v="0.1314700217204213"/>
    <x v="0"/>
  </r>
  <r>
    <x v="54"/>
    <x v="2"/>
    <d v="2024-01-14T00:00:00"/>
    <s v="Text"/>
    <s v="Whatâ€™s your vibe today? #SpotifyHits"/>
    <n v="4502"/>
    <n v="238"/>
    <n v="386"/>
    <n v="39198"/>
    <n v="25050"/>
    <n v="297"/>
    <x v="3"/>
    <x v="1"/>
    <n v="0.13077197816215114"/>
    <x v="0"/>
  </r>
  <r>
    <x v="55"/>
    <x v="0"/>
    <d v="2024-12-04T00:00:00"/>
    <s v="Text"/>
    <s v="Wrapped is here! Relive your top tracks ðŸŽ§"/>
    <n v="2357"/>
    <n v="274"/>
    <n v="172"/>
    <n v="21566"/>
    <n v="66829"/>
    <n v="284"/>
    <x v="2"/>
    <x v="0"/>
    <n v="0.12997310581470833"/>
    <x v="0"/>
  </r>
  <r>
    <x v="56"/>
    <x v="0"/>
    <d v="2024-11-03T00:00:00"/>
    <s v="Story"/>
    <s v="Explore the latest podcasts now."/>
    <n v="3061"/>
    <n v="320"/>
    <n v="76"/>
    <n v="26640"/>
    <n v="24306"/>
    <n v="112"/>
    <x v="1"/>
    <x v="0"/>
    <n v="0.12976726726726726"/>
    <x v="0"/>
  </r>
  <r>
    <x v="57"/>
    <x v="2"/>
    <d v="2025-05-18T00:00:00"/>
    <s v="Reel"/>
    <s v="Wrapped is here! Relive your top tracks ðŸŽ§"/>
    <n v="4210"/>
    <n v="319"/>
    <n v="350"/>
    <n v="37762"/>
    <n v="55162"/>
    <n v="204"/>
    <x v="3"/>
    <x v="2"/>
    <n v="0.12920396165457337"/>
    <x v="1"/>
  </r>
  <r>
    <x v="58"/>
    <x v="0"/>
    <d v="2025-05-09T00:00:00"/>
    <s v="Story"/>
    <s v="Music that moves youâ€”only on Spotify."/>
    <n v="2778"/>
    <n v="241"/>
    <n v="317"/>
    <n v="26247"/>
    <n v="20677"/>
    <n v="282"/>
    <x v="1"/>
    <x v="0"/>
    <n v="0.1271002400274317"/>
    <x v="1"/>
  </r>
  <r>
    <x v="59"/>
    <x v="0"/>
    <d v="2024-10-09T00:00:00"/>
    <s v="Text"/>
    <s v="Wrapped is here! Relive your top tracks ðŸŽ§"/>
    <n v="2659"/>
    <n v="167"/>
    <n v="73"/>
    <n v="23090"/>
    <n v="25872"/>
    <n v="293"/>
    <x v="0"/>
    <x v="1"/>
    <n v="0.12555218709398008"/>
    <x v="0"/>
  </r>
  <r>
    <x v="60"/>
    <x v="0"/>
    <d v="2024-10-14T00:00:00"/>
    <s v="Story"/>
    <s v="Explore the latest podcasts now."/>
    <n v="4303"/>
    <n v="306"/>
    <n v="302"/>
    <n v="39575"/>
    <n v="33762"/>
    <n v="265"/>
    <x v="3"/>
    <x v="0"/>
    <n v="0.12409349336702463"/>
    <x v="0"/>
  </r>
  <r>
    <x v="61"/>
    <x v="2"/>
    <d v="2025-03-22T00:00:00"/>
    <s v="Text"/>
    <s v="Music that moves youâ€”only on Spotify."/>
    <n v="4308"/>
    <n v="171"/>
    <n v="106"/>
    <n v="36955"/>
    <n v="23949"/>
    <n v="294"/>
    <x v="3"/>
    <x v="1"/>
    <n v="0.12406981463942633"/>
    <x v="1"/>
  </r>
  <r>
    <x v="62"/>
    <x v="0"/>
    <d v="2024-11-30T00:00:00"/>
    <s v="Story"/>
    <s v="Explore the latest podcasts now."/>
    <n v="4963"/>
    <n v="255"/>
    <n v="193"/>
    <n v="44386"/>
    <n v="28415"/>
    <n v="174"/>
    <x v="1"/>
    <x v="0"/>
    <n v="0.12190780876853062"/>
    <x v="0"/>
  </r>
  <r>
    <x v="63"/>
    <x v="1"/>
    <d v="2024-12-03T00:00:00"/>
    <s v="Text"/>
    <s v="Wrapped is here! Relive your top tracks ðŸŽ§"/>
    <n v="3173"/>
    <n v="229"/>
    <n v="197"/>
    <n v="29604"/>
    <n v="21809"/>
    <n v="272"/>
    <x v="0"/>
    <x v="0"/>
    <n v="0.1215714092690177"/>
    <x v="0"/>
  </r>
  <r>
    <x v="64"/>
    <x v="0"/>
    <d v="2025-03-20T00:00:00"/>
    <s v="Story"/>
    <s v="Your weekend playlist is waiting."/>
    <n v="3393"/>
    <n v="104"/>
    <n v="79"/>
    <n v="30025"/>
    <n v="21593"/>
    <n v="165"/>
    <x v="1"/>
    <x v="0"/>
    <n v="0.1191007493755204"/>
    <x v="1"/>
  </r>
  <r>
    <x v="65"/>
    <x v="1"/>
    <d v="2025-02-14T00:00:00"/>
    <s v="Text"/>
    <s v="Top trending tracks updated daily!"/>
    <n v="4891"/>
    <n v="450"/>
    <n v="387"/>
    <n v="48746"/>
    <n v="37312"/>
    <n v="154"/>
    <x v="0"/>
    <x v="0"/>
    <n v="0.11750707750379519"/>
    <x v="1"/>
  </r>
  <r>
    <x v="66"/>
    <x v="1"/>
    <d v="2024-12-21T00:00:00"/>
    <s v="Story"/>
    <s v="New music just dropped. Hit play!"/>
    <n v="4563"/>
    <n v="398"/>
    <n v="163"/>
    <n v="43679"/>
    <n v="48760"/>
    <n v="92"/>
    <x v="2"/>
    <x v="3"/>
    <n v="0.11731037798484398"/>
    <x v="0"/>
  </r>
  <r>
    <x v="67"/>
    <x v="1"/>
    <d v="2024-05-30T00:00:00"/>
    <s v="Story"/>
    <s v="Get into the groove with our new drop!"/>
    <n v="2448"/>
    <n v="464"/>
    <n v="98"/>
    <n v="25737"/>
    <n v="48545"/>
    <n v="246"/>
    <x v="2"/>
    <x v="3"/>
    <n v="0.11695224773672146"/>
    <x v="0"/>
  </r>
  <r>
    <x v="68"/>
    <x v="0"/>
    <d v="2025-03-09T00:00:00"/>
    <s v="Text"/>
    <s v="Your weekend playlist is waiting."/>
    <n v="2754"/>
    <n v="215"/>
    <n v="264"/>
    <n v="27762"/>
    <n v="70203"/>
    <n v="289"/>
    <x v="2"/>
    <x v="0"/>
    <n v="0.11645414595490239"/>
    <x v="1"/>
  </r>
  <r>
    <x v="69"/>
    <x v="2"/>
    <d v="2024-07-14T00:00:00"/>
    <s v="Text"/>
    <s v="Your weekend playlist is waiting."/>
    <n v="3806"/>
    <n v="114"/>
    <n v="278"/>
    <n v="36148"/>
    <n v="24209"/>
    <n v="201"/>
    <x v="3"/>
    <x v="1"/>
    <n v="0.11613367267898639"/>
    <x v="0"/>
  </r>
  <r>
    <x v="70"/>
    <x v="0"/>
    <d v="2025-05-28T00:00:00"/>
    <s v="Story"/>
    <s v="Top trending tracks updated daily!"/>
    <n v="4287"/>
    <n v="273"/>
    <n v="122"/>
    <n v="40792"/>
    <n v="23878"/>
    <n v="277"/>
    <x v="1"/>
    <x v="0"/>
    <n v="0.11477740733477153"/>
    <x v="1"/>
  </r>
  <r>
    <x v="71"/>
    <x v="1"/>
    <d v="2024-05-01T00:00:00"/>
    <s v="Text"/>
    <s v="Get into the groove with our new drop!"/>
    <n v="3359"/>
    <n v="137"/>
    <n v="387"/>
    <n v="33861"/>
    <n v="47257"/>
    <n v="198"/>
    <x v="3"/>
    <x v="1"/>
    <n v="0.11467469950680724"/>
    <x v="0"/>
  </r>
  <r>
    <x v="72"/>
    <x v="1"/>
    <d v="2024-11-29T00:00:00"/>
    <s v="Text"/>
    <s v="Whatâ€™s your vibe today? #SpotifyHits"/>
    <n v="2824"/>
    <n v="425"/>
    <n v="274"/>
    <n v="31004"/>
    <n v="53488"/>
    <n v="268"/>
    <x v="0"/>
    <x v="0"/>
    <n v="0.11363049929041415"/>
    <x v="0"/>
  </r>
  <r>
    <x v="73"/>
    <x v="2"/>
    <d v="2025-02-20T00:00:00"/>
    <s v="Reel"/>
    <s v="Get into the groove with our new drop!"/>
    <n v="4957"/>
    <n v="262"/>
    <n v="365"/>
    <n v="49199"/>
    <n v="40314"/>
    <n v="216"/>
    <x v="3"/>
    <x v="2"/>
    <n v="0.11349824183418362"/>
    <x v="1"/>
  </r>
  <r>
    <x v="74"/>
    <x v="0"/>
    <d v="2024-05-06T00:00:00"/>
    <s v="Text"/>
    <s v="Your weekend playlist is waiting."/>
    <n v="3476"/>
    <n v="355"/>
    <n v="396"/>
    <n v="37492"/>
    <n v="27285"/>
    <n v="179"/>
    <x v="2"/>
    <x v="0"/>
    <n v="0.11274405206444041"/>
    <x v="0"/>
  </r>
  <r>
    <x v="75"/>
    <x v="1"/>
    <d v="2024-11-14T00:00:00"/>
    <s v="Text"/>
    <s v="Music that moves youâ€”only on Spotify."/>
    <n v="2422"/>
    <n v="318"/>
    <n v="118"/>
    <n v="25386"/>
    <n v="20873"/>
    <n v="100"/>
    <x v="0"/>
    <x v="0"/>
    <n v="0.11258173796580792"/>
    <x v="0"/>
  </r>
  <r>
    <x v="76"/>
    <x v="0"/>
    <d v="2024-09-28T00:00:00"/>
    <s v="Story"/>
    <s v="Wrapped is here! Relive your top tracks ðŸŽ§"/>
    <n v="4471"/>
    <n v="317"/>
    <n v="249"/>
    <n v="44862"/>
    <n v="33365"/>
    <n v="184"/>
    <x v="3"/>
    <x v="0"/>
    <n v="0.1122776514644911"/>
    <x v="0"/>
  </r>
  <r>
    <x v="77"/>
    <x v="0"/>
    <d v="2024-12-10T00:00:00"/>
    <s v="Text"/>
    <s v="From pop to podcasts, itâ€™s all here."/>
    <n v="4673"/>
    <n v="270"/>
    <n v="93"/>
    <n v="45260"/>
    <n v="57513"/>
    <n v="103"/>
    <x v="2"/>
    <x v="0"/>
    <n v="0.11126822801590809"/>
    <x v="0"/>
  </r>
  <r>
    <x v="78"/>
    <x v="2"/>
    <d v="2024-04-16T00:00:00"/>
    <s v="Text"/>
    <s v="Discover fresh beats on Spotify!"/>
    <n v="4674"/>
    <n v="326"/>
    <n v="62"/>
    <n v="45503"/>
    <n v="46814"/>
    <n v="116"/>
    <x v="3"/>
    <x v="1"/>
    <n v="0.11124541239039185"/>
    <x v="0"/>
  </r>
  <r>
    <x v="79"/>
    <x v="1"/>
    <d v="2025-03-08T00:00:00"/>
    <s v="Story"/>
    <s v="Top trending tracks updated daily!"/>
    <n v="2244"/>
    <n v="392"/>
    <n v="231"/>
    <n v="25834"/>
    <n v="50906"/>
    <n v="165"/>
    <x v="2"/>
    <x v="3"/>
    <n v="0.1109777812185492"/>
    <x v="1"/>
  </r>
  <r>
    <x v="80"/>
    <x v="2"/>
    <d v="2024-08-09T00:00:00"/>
    <s v="Reel"/>
    <s v="From pop to podcasts, itâ€™s all here."/>
    <n v="3414"/>
    <n v="154"/>
    <n v="204"/>
    <n v="34146"/>
    <n v="44633"/>
    <n v="256"/>
    <x v="3"/>
    <x v="2"/>
    <n v="0.11046681895390383"/>
    <x v="0"/>
  </r>
  <r>
    <x v="81"/>
    <x v="0"/>
    <d v="2024-11-06T00:00:00"/>
    <s v="Text"/>
    <s v="From pop to podcasts, itâ€™s all here."/>
    <n v="2956"/>
    <n v="381"/>
    <n v="345"/>
    <n v="33347"/>
    <n v="22558"/>
    <n v="173"/>
    <x v="2"/>
    <x v="0"/>
    <n v="0.11041472996071611"/>
    <x v="0"/>
  </r>
  <r>
    <x v="82"/>
    <x v="0"/>
    <d v="2024-10-18T00:00:00"/>
    <s v="Text"/>
    <s v="New music just dropped. Hit play!"/>
    <n v="2607"/>
    <n v="379"/>
    <n v="180"/>
    <n v="28712"/>
    <n v="61620"/>
    <n v="174"/>
    <x v="0"/>
    <x v="1"/>
    <n v="0.11026748397882419"/>
    <x v="0"/>
  </r>
  <r>
    <x v="83"/>
    <x v="2"/>
    <d v="2025-03-07T00:00:00"/>
    <s v="Text"/>
    <s v="Top trending tracks updated daily!"/>
    <n v="4310"/>
    <n v="284"/>
    <n v="306"/>
    <n v="44606"/>
    <n v="42604"/>
    <n v="290"/>
    <x v="3"/>
    <x v="1"/>
    <n v="0.10985069273191947"/>
    <x v="1"/>
  </r>
  <r>
    <x v="84"/>
    <x v="2"/>
    <d v="2024-09-07T00:00:00"/>
    <s v="Reel"/>
    <s v="Music that moves youâ€”only on Spotify."/>
    <n v="3882"/>
    <n v="342"/>
    <n v="374"/>
    <n v="41991"/>
    <n v="48554"/>
    <n v="118"/>
    <x v="3"/>
    <x v="2"/>
    <n v="0.10949965468790931"/>
    <x v="0"/>
  </r>
  <r>
    <x v="85"/>
    <x v="0"/>
    <d v="2024-08-29T00:00:00"/>
    <s v="Story"/>
    <s v="Get into the groove with our new drop!"/>
    <n v="4276"/>
    <n v="227"/>
    <n v="223"/>
    <n v="43443"/>
    <n v="41005"/>
    <n v="191"/>
    <x v="3"/>
    <x v="0"/>
    <n v="0.1087862256289851"/>
    <x v="0"/>
  </r>
  <r>
    <x v="86"/>
    <x v="1"/>
    <d v="2024-04-19T00:00:00"/>
    <s v="Text"/>
    <s v="New music just dropped. Hit play!"/>
    <n v="4001"/>
    <n v="353"/>
    <n v="129"/>
    <n v="41265"/>
    <n v="37279"/>
    <n v="275"/>
    <x v="0"/>
    <x v="0"/>
    <n v="0.10863928268508422"/>
    <x v="0"/>
  </r>
  <r>
    <x v="87"/>
    <x v="0"/>
    <d v="2024-01-11T00:00:00"/>
    <s v="Story"/>
    <s v="Wrapped is here! Relive your top tracks ðŸŽ§"/>
    <n v="2340"/>
    <n v="141"/>
    <n v="206"/>
    <n v="24916"/>
    <n v="30582"/>
    <n v="157"/>
    <x v="0"/>
    <x v="0"/>
    <n v="0.10784235029699792"/>
    <x v="0"/>
  </r>
  <r>
    <x v="88"/>
    <x v="0"/>
    <d v="2025-05-27T00:00:00"/>
    <s v="Story"/>
    <s v="Explore the latest podcasts now."/>
    <n v="4095"/>
    <n v="385"/>
    <n v="400"/>
    <n v="45300"/>
    <n v="31795"/>
    <n v="80"/>
    <x v="1"/>
    <x v="0"/>
    <n v="0.10772626931567329"/>
    <x v="1"/>
  </r>
  <r>
    <x v="89"/>
    <x v="2"/>
    <d v="2024-10-26T00:00:00"/>
    <s v="Text"/>
    <s v="New music just dropped. Hit play!"/>
    <n v="4676"/>
    <n v="211"/>
    <n v="55"/>
    <n v="45917"/>
    <n v="73503"/>
    <n v="248"/>
    <x v="3"/>
    <x v="1"/>
    <n v="0.10762898272970794"/>
    <x v="0"/>
  </r>
  <r>
    <x v="90"/>
    <x v="2"/>
    <d v="2024-01-14T00:00:00"/>
    <s v="Text"/>
    <s v="New music just dropped. Hit play!"/>
    <n v="3634"/>
    <n v="280"/>
    <n v="399"/>
    <n v="40256"/>
    <n v="52605"/>
    <n v="213"/>
    <x v="3"/>
    <x v="1"/>
    <n v="0.10713930842607314"/>
    <x v="0"/>
  </r>
  <r>
    <x v="91"/>
    <x v="0"/>
    <d v="2025-02-08T00:00:00"/>
    <s v="Story"/>
    <s v="Your weekend playlist is waiting."/>
    <n v="4752"/>
    <n v="334"/>
    <n v="56"/>
    <n v="48017"/>
    <n v="55534"/>
    <n v="270"/>
    <x v="3"/>
    <x v="0"/>
    <n v="0.10708707332819627"/>
    <x v="1"/>
  </r>
  <r>
    <x v="92"/>
    <x v="0"/>
    <d v="2025-01-05T00:00:00"/>
    <s v="Text"/>
    <s v="Wrapped is here! Relive your top tracks ðŸŽ§"/>
    <n v="4811"/>
    <n v="473"/>
    <n v="254"/>
    <n v="51964"/>
    <n v="68795"/>
    <n v="107"/>
    <x v="2"/>
    <x v="0"/>
    <n v="0.10657378184897237"/>
    <x v="1"/>
  </r>
  <r>
    <x v="93"/>
    <x v="1"/>
    <d v="2024-05-08T00:00:00"/>
    <s v="Story"/>
    <s v="Music that moves youâ€”only on Spotify."/>
    <n v="2414"/>
    <n v="220"/>
    <n v="280"/>
    <n v="27355"/>
    <n v="50562"/>
    <n v="258"/>
    <x v="2"/>
    <x v="3"/>
    <n v="0.10652531529884847"/>
    <x v="0"/>
  </r>
  <r>
    <x v="94"/>
    <x v="1"/>
    <d v="2024-01-08T00:00:00"/>
    <s v="Text"/>
    <s v="Top trending tracks updated daily!"/>
    <n v="2683"/>
    <n v="405"/>
    <n v="223"/>
    <n v="31233"/>
    <n v="58106"/>
    <n v="291"/>
    <x v="3"/>
    <x v="1"/>
    <n v="0.10600966926007749"/>
    <x v="0"/>
  </r>
  <r>
    <x v="95"/>
    <x v="1"/>
    <d v="2024-01-26T00:00:00"/>
    <s v="Text"/>
    <s v="Whatâ€™s your vibe today? #SpotifyHits"/>
    <n v="3878"/>
    <n v="431"/>
    <n v="97"/>
    <n v="41763"/>
    <n v="29729"/>
    <n v="191"/>
    <x v="3"/>
    <x v="1"/>
    <n v="0.10550008380623997"/>
    <x v="0"/>
  </r>
  <r>
    <x v="96"/>
    <x v="2"/>
    <d v="2024-08-29T00:00:00"/>
    <s v="Text"/>
    <s v="Wrapped is here! Relive your top tracks ðŸŽ§"/>
    <n v="4774"/>
    <n v="389"/>
    <n v="358"/>
    <n v="52346"/>
    <n v="30518"/>
    <n v="277"/>
    <x v="3"/>
    <x v="1"/>
    <n v="0.10547128720437092"/>
    <x v="0"/>
  </r>
  <r>
    <x v="97"/>
    <x v="0"/>
    <d v="2024-08-09T00:00:00"/>
    <s v="Story"/>
    <s v="From pop to podcasts, itâ€™s all here."/>
    <n v="4877"/>
    <n v="442"/>
    <n v="236"/>
    <n v="52673"/>
    <n v="48241"/>
    <n v="114"/>
    <x v="3"/>
    <x v="0"/>
    <n v="0.10546200140489435"/>
    <x v="0"/>
  </r>
  <r>
    <x v="98"/>
    <x v="1"/>
    <d v="2024-02-22T00:00:00"/>
    <s v="Text"/>
    <s v="New music just dropped. Hit play!"/>
    <n v="1902"/>
    <n v="394"/>
    <n v="279"/>
    <n v="24615"/>
    <n v="51330"/>
    <n v="176"/>
    <x v="0"/>
    <x v="0"/>
    <n v="0.10461100954702417"/>
    <x v="0"/>
  </r>
  <r>
    <x v="99"/>
    <x v="1"/>
    <d v="2024-04-25T00:00:00"/>
    <s v="Text"/>
    <s v="Music that moves youâ€”only on Spotify."/>
    <n v="3563"/>
    <n v="483"/>
    <n v="227"/>
    <n v="41085"/>
    <n v="26393"/>
    <n v="236"/>
    <x v="0"/>
    <x v="0"/>
    <n v="0.10400389436534015"/>
    <x v="0"/>
  </r>
  <r>
    <x v="100"/>
    <x v="0"/>
    <d v="2025-04-26T00:00:00"/>
    <s v="Text"/>
    <s v="Discover fresh beats on Spotify!"/>
    <n v="2411"/>
    <n v="194"/>
    <n v="168"/>
    <n v="26665"/>
    <n v="71699"/>
    <n v="197"/>
    <x v="2"/>
    <x v="0"/>
    <n v="0.10399399962497656"/>
    <x v="1"/>
  </r>
  <r>
    <x v="101"/>
    <x v="1"/>
    <d v="2025-01-21T00:00:00"/>
    <s v="Story"/>
    <s v="New music just dropped. Hit play!"/>
    <n v="4918"/>
    <n v="440"/>
    <n v="149"/>
    <n v="53269"/>
    <n v="64370"/>
    <n v="269"/>
    <x v="2"/>
    <x v="3"/>
    <n v="0.10338095327488783"/>
    <x v="1"/>
  </r>
  <r>
    <x v="102"/>
    <x v="2"/>
    <d v="2025-04-02T00:00:00"/>
    <s v="Text"/>
    <s v="Wrapped is here! Relive your top tracks ðŸŽ§"/>
    <n v="4598"/>
    <n v="455"/>
    <n v="378"/>
    <n v="52952"/>
    <n v="58504"/>
    <n v="269"/>
    <x v="3"/>
    <x v="1"/>
    <n v="0.10256458679558846"/>
    <x v="1"/>
  </r>
  <r>
    <x v="103"/>
    <x v="2"/>
    <d v="2024-05-13T00:00:00"/>
    <s v="Reel"/>
    <s v="Explore the latest podcasts now."/>
    <n v="4161"/>
    <n v="481"/>
    <n v="61"/>
    <n v="45884"/>
    <n v="48955"/>
    <n v="215"/>
    <x v="3"/>
    <x v="2"/>
    <n v="0.10249760265016128"/>
    <x v="0"/>
  </r>
  <r>
    <x v="104"/>
    <x v="2"/>
    <d v="2024-02-24T00:00:00"/>
    <s v="Reel"/>
    <s v="Discover fresh beats on Spotify!"/>
    <n v="4221"/>
    <n v="307"/>
    <n v="58"/>
    <n v="45080"/>
    <n v="37214"/>
    <n v="240"/>
    <x v="3"/>
    <x v="2"/>
    <n v="0.10173025732031943"/>
    <x v="0"/>
  </r>
  <r>
    <x v="105"/>
    <x v="1"/>
    <d v="2024-04-03T00:00:00"/>
    <s v="Text"/>
    <s v="Top trending tracks updated daily!"/>
    <n v="2762"/>
    <n v="339"/>
    <n v="323"/>
    <n v="33757"/>
    <n v="68511"/>
    <n v="121"/>
    <x v="0"/>
    <x v="0"/>
    <n v="0.10143081434961637"/>
    <x v="0"/>
  </r>
  <r>
    <x v="106"/>
    <x v="1"/>
    <d v="2024-07-21T00:00:00"/>
    <s v="Text"/>
    <s v="Discover fresh beats on Spotify!"/>
    <n v="3004"/>
    <n v="415"/>
    <n v="218"/>
    <n v="36090"/>
    <n v="37073"/>
    <n v="181"/>
    <x v="3"/>
    <x v="1"/>
    <n v="0.10077583818232197"/>
    <x v="0"/>
  </r>
  <r>
    <x v="107"/>
    <x v="1"/>
    <d v="2024-06-04T00:00:00"/>
    <s v="Text"/>
    <s v="Get into the groove with our new drop!"/>
    <n v="3948"/>
    <n v="151"/>
    <n v="249"/>
    <n v="43147"/>
    <n v="63136"/>
    <n v="230"/>
    <x v="3"/>
    <x v="1"/>
    <n v="0.10077178019329269"/>
    <x v="0"/>
  </r>
  <r>
    <x v="108"/>
    <x v="1"/>
    <d v="2024-12-04T00:00:00"/>
    <s v="Text"/>
    <s v="Wrapped is here! Relive your top tracks ðŸŽ§"/>
    <n v="2601"/>
    <n v="336"/>
    <n v="260"/>
    <n v="32368"/>
    <n v="49028"/>
    <n v="120"/>
    <x v="0"/>
    <x v="0"/>
    <n v="9.8770390509144837E-2"/>
    <x v="0"/>
  </r>
  <r>
    <x v="109"/>
    <x v="1"/>
    <d v="2024-01-07T00:00:00"/>
    <s v="Text"/>
    <s v="Top trending tracks updated daily!"/>
    <n v="4931"/>
    <n v="469"/>
    <n v="193"/>
    <n v="56701"/>
    <n v="69437"/>
    <n v="291"/>
    <x v="0"/>
    <x v="0"/>
    <n v="9.8640235621946709E-2"/>
    <x v="0"/>
  </r>
  <r>
    <x v="110"/>
    <x v="1"/>
    <d v="2025-06-06T00:00:00"/>
    <s v="Text"/>
    <s v="Wrapped is here! Relive your top tracks ðŸŽ§"/>
    <n v="3987"/>
    <n v="171"/>
    <n v="274"/>
    <n v="45122"/>
    <n v="65431"/>
    <n v="168"/>
    <x v="3"/>
    <x v="1"/>
    <n v="9.8222596516111871E-2"/>
    <x v="1"/>
  </r>
  <r>
    <x v="111"/>
    <x v="0"/>
    <d v="2024-12-10T00:00:00"/>
    <s v="Story"/>
    <s v="Wrapped is here! Relive your top tracks ðŸŽ§"/>
    <n v="2267"/>
    <n v="230"/>
    <n v="243"/>
    <n v="27904"/>
    <n v="69771"/>
    <n v="255"/>
    <x v="3"/>
    <x v="0"/>
    <n v="9.8193807339449546E-2"/>
    <x v="0"/>
  </r>
  <r>
    <x v="112"/>
    <x v="2"/>
    <d v="2024-03-14T00:00:00"/>
    <s v="Reel"/>
    <s v="From pop to podcasts, itâ€™s all here."/>
    <n v="3361"/>
    <n v="188"/>
    <n v="358"/>
    <n v="39838"/>
    <n v="24536"/>
    <n v="120"/>
    <x v="3"/>
    <x v="2"/>
    <n v="9.8072192379135503E-2"/>
    <x v="0"/>
  </r>
  <r>
    <x v="113"/>
    <x v="1"/>
    <d v="2024-09-01T00:00:00"/>
    <s v="Story"/>
    <s v="Wrapped is here! Relive your top tracks ðŸŽ§"/>
    <n v="2335"/>
    <n v="150"/>
    <n v="75"/>
    <n v="26114"/>
    <n v="57549"/>
    <n v="135"/>
    <x v="2"/>
    <x v="3"/>
    <n v="9.8031707130274953E-2"/>
    <x v="0"/>
  </r>
  <r>
    <x v="114"/>
    <x v="0"/>
    <d v="2024-12-30T00:00:00"/>
    <s v="Text"/>
    <s v="Get into the groove with our new drop!"/>
    <n v="4214"/>
    <n v="286"/>
    <n v="127"/>
    <n v="47293"/>
    <n v="27184"/>
    <n v="232"/>
    <x v="2"/>
    <x v="0"/>
    <n v="9.7836889180216949E-2"/>
    <x v="0"/>
  </r>
  <r>
    <x v="115"/>
    <x v="0"/>
    <d v="2025-05-08T00:00:00"/>
    <s v="Story"/>
    <s v="Your weekend playlist is waiting."/>
    <n v="3316"/>
    <n v="332"/>
    <n v="268"/>
    <n v="40095"/>
    <n v="36913"/>
    <n v="265"/>
    <x v="1"/>
    <x v="0"/>
    <n v="9.7668038408779148E-2"/>
    <x v="1"/>
  </r>
  <r>
    <x v="116"/>
    <x v="0"/>
    <d v="2024-10-04T00:00:00"/>
    <s v="Story"/>
    <s v="Explore the latest podcasts now."/>
    <n v="2870"/>
    <n v="380"/>
    <n v="393"/>
    <n v="37621"/>
    <n v="71794"/>
    <n v="127"/>
    <x v="1"/>
    <x v="0"/>
    <n v="9.6834214933149046E-2"/>
    <x v="0"/>
  </r>
  <r>
    <x v="117"/>
    <x v="0"/>
    <d v="2025-05-28T00:00:00"/>
    <s v="Text"/>
    <s v="From pop to podcasts, itâ€™s all here."/>
    <n v="2418"/>
    <n v="161"/>
    <n v="360"/>
    <n v="30589"/>
    <n v="41383"/>
    <n v="88"/>
    <x v="2"/>
    <x v="0"/>
    <n v="9.6080290300434801E-2"/>
    <x v="1"/>
  </r>
  <r>
    <x v="118"/>
    <x v="1"/>
    <d v="2025-03-06T00:00:00"/>
    <s v="Text"/>
    <s v="Get into the groove with our new drop!"/>
    <n v="4851"/>
    <n v="460"/>
    <n v="212"/>
    <n v="58075"/>
    <n v="59574"/>
    <n v="239"/>
    <x v="3"/>
    <x v="1"/>
    <n v="9.5101162290142052E-2"/>
    <x v="1"/>
  </r>
  <r>
    <x v="119"/>
    <x v="0"/>
    <d v="2024-05-30T00:00:00"/>
    <s v="Story"/>
    <s v="Your weekend playlist is waiting."/>
    <n v="2311"/>
    <n v="207"/>
    <n v="363"/>
    <n v="30349"/>
    <n v="32925"/>
    <n v="88"/>
    <x v="1"/>
    <x v="0"/>
    <n v="9.4928992718046723E-2"/>
    <x v="0"/>
  </r>
  <r>
    <x v="120"/>
    <x v="0"/>
    <d v="2024-03-15T00:00:00"/>
    <s v="Story"/>
    <s v="Get into the groove with our new drop!"/>
    <n v="4969"/>
    <n v="433"/>
    <n v="237"/>
    <n v="59552"/>
    <n v="23885"/>
    <n v="157"/>
    <x v="3"/>
    <x v="0"/>
    <n v="9.4690354648038683E-2"/>
    <x v="0"/>
  </r>
  <r>
    <x v="121"/>
    <x v="1"/>
    <d v="2025-05-31T00:00:00"/>
    <s v="Text"/>
    <s v="Whatâ€™s your vibe today? #SpotifyHits"/>
    <n v="2169"/>
    <n v="240"/>
    <n v="57"/>
    <n v="26109"/>
    <n v="46667"/>
    <n v="133"/>
    <x v="0"/>
    <x v="0"/>
    <n v="9.4450189589796618E-2"/>
    <x v="1"/>
  </r>
  <r>
    <x v="122"/>
    <x v="1"/>
    <d v="2024-02-07T00:00:00"/>
    <s v="Text"/>
    <s v="Music that moves youâ€”only on Spotify."/>
    <n v="1883"/>
    <n v="432"/>
    <n v="397"/>
    <n v="28759"/>
    <n v="18691"/>
    <n v="270"/>
    <x v="0"/>
    <x v="0"/>
    <n v="9.4300914496331587E-2"/>
    <x v="0"/>
  </r>
  <r>
    <x v="123"/>
    <x v="1"/>
    <d v="2025-01-16T00:00:00"/>
    <s v="Text"/>
    <s v="Music that moves youâ€”only on Spotify."/>
    <n v="2605"/>
    <n v="282"/>
    <n v="148"/>
    <n v="32201"/>
    <n v="49583"/>
    <n v="241"/>
    <x v="0"/>
    <x v="0"/>
    <n v="9.4251731312692155E-2"/>
    <x v="1"/>
  </r>
  <r>
    <x v="124"/>
    <x v="1"/>
    <d v="2024-02-19T00:00:00"/>
    <s v="Text"/>
    <s v="Wrapped is here! Relive your top tracks ðŸŽ§"/>
    <n v="4752"/>
    <n v="449"/>
    <n v="309"/>
    <n v="58530"/>
    <n v="26630"/>
    <n v="234"/>
    <x v="3"/>
    <x v="1"/>
    <n v="9.4139757389372969E-2"/>
    <x v="0"/>
  </r>
  <r>
    <x v="125"/>
    <x v="1"/>
    <d v="2025-04-30T00:00:00"/>
    <s v="Story"/>
    <s v="New music just dropped. Hit play!"/>
    <n v="3916"/>
    <n v="459"/>
    <n v="229"/>
    <n v="48989"/>
    <n v="39768"/>
    <n v="200"/>
    <x v="2"/>
    <x v="3"/>
    <n v="9.3980281287635997E-2"/>
    <x v="1"/>
  </r>
  <r>
    <x v="126"/>
    <x v="0"/>
    <d v="2024-12-29T00:00:00"/>
    <s v="Story"/>
    <s v="New music just dropped. Hit play!"/>
    <n v="4049"/>
    <n v="377"/>
    <n v="94"/>
    <n v="48182"/>
    <n v="42875"/>
    <n v="172"/>
    <x v="1"/>
    <x v="0"/>
    <n v="9.3810966751068869E-2"/>
    <x v="0"/>
  </r>
  <r>
    <x v="127"/>
    <x v="1"/>
    <d v="2025-01-26T00:00:00"/>
    <s v="Story"/>
    <s v="Whatâ€™s your vibe today? #SpotifyHits"/>
    <n v="3451"/>
    <n v="363"/>
    <n v="393"/>
    <n v="44853"/>
    <n v="69032"/>
    <n v="211"/>
    <x v="2"/>
    <x v="3"/>
    <n v="9.379528682585335E-2"/>
    <x v="1"/>
  </r>
  <r>
    <x v="128"/>
    <x v="2"/>
    <d v="2024-06-21T00:00:00"/>
    <s v="Reel"/>
    <s v="Music that moves youâ€”only on Spotify."/>
    <n v="4621"/>
    <n v="374"/>
    <n v="298"/>
    <n v="56979"/>
    <n v="24098"/>
    <n v="205"/>
    <x v="3"/>
    <x v="2"/>
    <n v="9.2893873181347508E-2"/>
    <x v="0"/>
  </r>
  <r>
    <x v="129"/>
    <x v="0"/>
    <d v="2025-01-09T00:00:00"/>
    <s v="Story"/>
    <s v="Your weekend playlist is waiting."/>
    <n v="3817"/>
    <n v="284"/>
    <n v="204"/>
    <n v="46434"/>
    <n v="53396"/>
    <n v="104"/>
    <x v="1"/>
    <x v="0"/>
    <n v="9.2712236723090841E-2"/>
    <x v="1"/>
  </r>
  <r>
    <x v="130"/>
    <x v="1"/>
    <d v="2024-06-17T00:00:00"/>
    <s v="Text"/>
    <s v="Discover fresh beats on Spotify!"/>
    <n v="4283"/>
    <n v="471"/>
    <n v="156"/>
    <n v="53004"/>
    <n v="25678"/>
    <n v="105"/>
    <x v="3"/>
    <x v="1"/>
    <n v="9.2634518149573616E-2"/>
    <x v="0"/>
  </r>
  <r>
    <x v="131"/>
    <x v="0"/>
    <d v="2024-09-28T00:00:00"/>
    <s v="Text"/>
    <s v="Whatâ€™s your vibe today? #SpotifyHits"/>
    <n v="4006"/>
    <n v="420"/>
    <n v="194"/>
    <n v="49964"/>
    <n v="20685"/>
    <n v="148"/>
    <x v="2"/>
    <x v="0"/>
    <n v="9.2466575934672959E-2"/>
    <x v="0"/>
  </r>
  <r>
    <x v="132"/>
    <x v="1"/>
    <d v="2024-09-27T00:00:00"/>
    <s v="Text"/>
    <s v="Discover fresh beats on Spotify!"/>
    <n v="3118"/>
    <n v="116"/>
    <n v="195"/>
    <n v="37100"/>
    <n v="62629"/>
    <n v="272"/>
    <x v="3"/>
    <x v="1"/>
    <n v="9.2425876010781671E-2"/>
    <x v="0"/>
  </r>
  <r>
    <x v="133"/>
    <x v="1"/>
    <d v="2024-04-05T00:00:00"/>
    <s v="Text"/>
    <s v="New music just dropped. Hit play!"/>
    <n v="4383"/>
    <n v="352"/>
    <n v="176"/>
    <n v="53239"/>
    <n v="34168"/>
    <n v="288"/>
    <x v="3"/>
    <x v="1"/>
    <n v="9.2244407295403744E-2"/>
    <x v="0"/>
  </r>
  <r>
    <x v="134"/>
    <x v="0"/>
    <d v="2025-01-22T00:00:00"/>
    <s v="Story"/>
    <s v="New music just dropped. Hit play!"/>
    <n v="4478"/>
    <n v="101"/>
    <n v="121"/>
    <n v="51035"/>
    <n v="58207"/>
    <n v="205"/>
    <x v="1"/>
    <x v="0"/>
    <n v="9.2093661212893113E-2"/>
    <x v="1"/>
  </r>
  <r>
    <x v="135"/>
    <x v="2"/>
    <d v="2024-02-24T00:00:00"/>
    <s v="Text"/>
    <s v="Music that moves youâ€”only on Spotify."/>
    <n v="4653"/>
    <n v="226"/>
    <n v="349"/>
    <n v="56876"/>
    <n v="28452"/>
    <n v="257"/>
    <x v="3"/>
    <x v="1"/>
    <n v="9.191926295801392E-2"/>
    <x v="0"/>
  </r>
  <r>
    <x v="136"/>
    <x v="0"/>
    <d v="2025-06-17T00:00:00"/>
    <s v="Story"/>
    <s v="Explore the latest podcasts now."/>
    <n v="4341"/>
    <n v="141"/>
    <n v="63"/>
    <n v="50081"/>
    <n v="27507"/>
    <n v="221"/>
    <x v="3"/>
    <x v="0"/>
    <n v="9.0752980172121162E-2"/>
    <x v="1"/>
  </r>
  <r>
    <x v="137"/>
    <x v="1"/>
    <d v="2025-04-16T00:00:00"/>
    <s v="Text"/>
    <s v="Wrapped is here! Relive your top tracks ðŸŽ§"/>
    <n v="4836"/>
    <n v="331"/>
    <n v="140"/>
    <n v="58792"/>
    <n v="47711"/>
    <n v="227"/>
    <x v="0"/>
    <x v="0"/>
    <n v="9.0267383317458164E-2"/>
    <x v="1"/>
  </r>
  <r>
    <x v="138"/>
    <x v="0"/>
    <d v="2024-09-16T00:00:00"/>
    <s v="Story"/>
    <s v="Whatâ€™s your vibe today? #SpotifyHits"/>
    <n v="4422"/>
    <n v="434"/>
    <n v="156"/>
    <n v="56165"/>
    <n v="52431"/>
    <n v="173"/>
    <x v="3"/>
    <x v="0"/>
    <n v="8.9237069349238848E-2"/>
    <x v="0"/>
  </r>
  <r>
    <x v="139"/>
    <x v="0"/>
    <d v="2024-05-01T00:00:00"/>
    <s v="Story"/>
    <s v="Whatâ€™s your vibe today? #SpotifyHits"/>
    <n v="2587"/>
    <n v="447"/>
    <n v="183"/>
    <n v="36266"/>
    <n v="32877"/>
    <n v="132"/>
    <x v="3"/>
    <x v="0"/>
    <n v="8.8705674736667947E-2"/>
    <x v="0"/>
  </r>
  <r>
    <x v="140"/>
    <x v="2"/>
    <d v="2024-07-17T00:00:00"/>
    <s v="Text"/>
    <s v="Top trending tracks updated daily!"/>
    <n v="3135"/>
    <n v="110"/>
    <n v="215"/>
    <n v="39192"/>
    <n v="24744"/>
    <n v="177"/>
    <x v="3"/>
    <x v="1"/>
    <n v="8.8283323127168814E-2"/>
    <x v="0"/>
  </r>
  <r>
    <x v="141"/>
    <x v="0"/>
    <d v="2025-03-07T00:00:00"/>
    <s v="Text"/>
    <s v="Get into the groove with our new drop!"/>
    <n v="4234"/>
    <n v="486"/>
    <n v="276"/>
    <n v="56623"/>
    <n v="41343"/>
    <n v="184"/>
    <x v="0"/>
    <x v="1"/>
    <n v="8.8232696960599044E-2"/>
    <x v="1"/>
  </r>
  <r>
    <x v="142"/>
    <x v="2"/>
    <d v="2024-01-01T00:00:00"/>
    <s v="Reel"/>
    <s v="Explore the latest podcasts now."/>
    <n v="3437"/>
    <n v="129"/>
    <n v="359"/>
    <n v="44558"/>
    <n v="30854"/>
    <n v="171"/>
    <x v="3"/>
    <x v="2"/>
    <n v="8.8087436599488311E-2"/>
    <x v="0"/>
  </r>
  <r>
    <x v="143"/>
    <x v="0"/>
    <d v="2024-05-09T00:00:00"/>
    <s v="Story"/>
    <s v="Wrapped is here! Relive your top tracks ðŸŽ§"/>
    <n v="1428"/>
    <n v="347"/>
    <n v="67"/>
    <n v="21148"/>
    <n v="19712"/>
    <n v="120"/>
    <x v="3"/>
    <x v="0"/>
    <n v="8.7100435029317191E-2"/>
    <x v="0"/>
  </r>
  <r>
    <x v="144"/>
    <x v="1"/>
    <d v="2025-02-01T00:00:00"/>
    <s v="Text"/>
    <s v="Explore the latest podcasts now."/>
    <n v="1934"/>
    <n v="210"/>
    <n v="393"/>
    <n v="29129"/>
    <n v="73287"/>
    <n v="273"/>
    <x v="3"/>
    <x v="1"/>
    <n v="8.7095334546328396E-2"/>
    <x v="1"/>
  </r>
  <r>
    <x v="145"/>
    <x v="0"/>
    <d v="2024-08-27T00:00:00"/>
    <s v="Story"/>
    <s v="New music just dropped. Hit play!"/>
    <n v="1856"/>
    <n v="357"/>
    <n v="348"/>
    <n v="29428"/>
    <n v="70206"/>
    <n v="236"/>
    <x v="1"/>
    <x v="0"/>
    <n v="8.702596166915863E-2"/>
    <x v="0"/>
  </r>
  <r>
    <x v="146"/>
    <x v="1"/>
    <d v="2025-04-15T00:00:00"/>
    <s v="Text"/>
    <s v="Explore the latest podcasts now."/>
    <n v="4177"/>
    <n v="489"/>
    <n v="331"/>
    <n v="57451"/>
    <n v="73793"/>
    <n v="251"/>
    <x v="3"/>
    <x v="1"/>
    <n v="8.6978468608031198E-2"/>
    <x v="1"/>
  </r>
  <r>
    <x v="147"/>
    <x v="0"/>
    <d v="2025-06-21T00:00:00"/>
    <s v="Text"/>
    <s v="Explore the latest podcasts now."/>
    <n v="3611"/>
    <n v="127"/>
    <n v="139"/>
    <n v="44768"/>
    <n v="29435"/>
    <n v="178"/>
    <x v="2"/>
    <x v="0"/>
    <n v="8.6602037169406718E-2"/>
    <x v="1"/>
  </r>
  <r>
    <x v="148"/>
    <x v="0"/>
    <d v="2025-01-13T00:00:00"/>
    <s v="Text"/>
    <s v="Music that moves youâ€”only on Spotify."/>
    <n v="4090"/>
    <n v="209"/>
    <n v="278"/>
    <n v="52853"/>
    <n v="57084"/>
    <n v="102"/>
    <x v="0"/>
    <x v="1"/>
    <n v="8.6598679355949518E-2"/>
    <x v="1"/>
  </r>
  <r>
    <x v="149"/>
    <x v="2"/>
    <d v="2025-06-08T00:00:00"/>
    <s v="Text"/>
    <s v="Music that moves youâ€”only on Spotify."/>
    <n v="4375"/>
    <n v="303"/>
    <n v="294"/>
    <n v="57468"/>
    <n v="53397"/>
    <n v="159"/>
    <x v="3"/>
    <x v="1"/>
    <n v="8.6517714206166912E-2"/>
    <x v="1"/>
  </r>
  <r>
    <x v="150"/>
    <x v="1"/>
    <d v="2024-08-27T00:00:00"/>
    <s v="Text"/>
    <s v="Music that moves youâ€”only on Spotify."/>
    <n v="4197"/>
    <n v="359"/>
    <n v="280"/>
    <n v="56048"/>
    <n v="70930"/>
    <n v="295"/>
    <x v="3"/>
    <x v="1"/>
    <n v="8.628318584070796E-2"/>
    <x v="0"/>
  </r>
  <r>
    <x v="151"/>
    <x v="2"/>
    <d v="2025-04-22T00:00:00"/>
    <s v="Reel"/>
    <s v="New music just dropped. Hit play!"/>
    <n v="2733"/>
    <n v="297"/>
    <n v="235"/>
    <n v="37980"/>
    <n v="33058"/>
    <n v="219"/>
    <x v="3"/>
    <x v="2"/>
    <n v="8.5966298051606105E-2"/>
    <x v="1"/>
  </r>
  <r>
    <x v="152"/>
    <x v="0"/>
    <d v="2024-06-08T00:00:00"/>
    <s v="Story"/>
    <s v="Top trending tracks updated daily!"/>
    <n v="3413"/>
    <n v="326"/>
    <n v="86"/>
    <n v="44680"/>
    <n v="52719"/>
    <n v="272"/>
    <x v="3"/>
    <x v="0"/>
    <n v="8.5608773500447627E-2"/>
    <x v="0"/>
  </r>
  <r>
    <x v="153"/>
    <x v="0"/>
    <d v="2024-05-09T00:00:00"/>
    <s v="Story"/>
    <s v="New music just dropped. Hit play!"/>
    <n v="3277"/>
    <n v="423"/>
    <n v="259"/>
    <n v="46328"/>
    <n v="44293"/>
    <n v="299"/>
    <x v="0"/>
    <x v="0"/>
    <n v="8.5455879813503707E-2"/>
    <x v="0"/>
  </r>
  <r>
    <x v="154"/>
    <x v="0"/>
    <d v="2024-10-08T00:00:00"/>
    <s v="Text"/>
    <s v="From pop to podcasts, itâ€™s all here."/>
    <n v="2460"/>
    <n v="409"/>
    <n v="253"/>
    <n v="36702"/>
    <n v="46122"/>
    <n v="264"/>
    <x v="2"/>
    <x v="0"/>
    <n v="8.5063484278785892E-2"/>
    <x v="0"/>
  </r>
  <r>
    <x v="155"/>
    <x v="2"/>
    <d v="2024-06-25T00:00:00"/>
    <s v="Text"/>
    <s v="Your weekend playlist is waiting."/>
    <n v="2172"/>
    <n v="338"/>
    <n v="70"/>
    <n v="30515"/>
    <n v="57853"/>
    <n v="156"/>
    <x v="3"/>
    <x v="1"/>
    <n v="8.4548582664263475E-2"/>
    <x v="0"/>
  </r>
  <r>
    <x v="156"/>
    <x v="2"/>
    <d v="2025-01-03T00:00:00"/>
    <s v="Text"/>
    <s v="New music just dropped. Hit play!"/>
    <n v="3782"/>
    <n v="484"/>
    <n v="144"/>
    <n v="52172"/>
    <n v="59386"/>
    <n v="175"/>
    <x v="3"/>
    <x v="1"/>
    <n v="8.4528099363643333E-2"/>
    <x v="1"/>
  </r>
  <r>
    <x v="157"/>
    <x v="0"/>
    <d v="2024-03-06T00:00:00"/>
    <s v="Text"/>
    <s v="Discover fresh beats on Spotify!"/>
    <n v="1971"/>
    <n v="370"/>
    <n v="306"/>
    <n v="31316"/>
    <n v="27897"/>
    <n v="88"/>
    <x v="0"/>
    <x v="1"/>
    <n v="8.4525482181632389E-2"/>
    <x v="0"/>
  </r>
  <r>
    <x v="158"/>
    <x v="1"/>
    <d v="2024-07-02T00:00:00"/>
    <s v="Text"/>
    <s v="Top trending tracks updated daily!"/>
    <n v="3469"/>
    <n v="371"/>
    <n v="76"/>
    <n v="46493"/>
    <n v="26906"/>
    <n v="150"/>
    <x v="0"/>
    <x v="0"/>
    <n v="8.4227733207149463E-2"/>
    <x v="0"/>
  </r>
  <r>
    <x v="159"/>
    <x v="1"/>
    <d v="2024-10-24T00:00:00"/>
    <s v="Story"/>
    <s v="Top trending tracks updated daily!"/>
    <n v="1914"/>
    <n v="255"/>
    <n v="156"/>
    <n v="27660"/>
    <n v="47776"/>
    <n v="111"/>
    <x v="2"/>
    <x v="3"/>
    <n v="8.4056399132321047E-2"/>
    <x v="0"/>
  </r>
  <r>
    <x v="160"/>
    <x v="1"/>
    <d v="2025-02-03T00:00:00"/>
    <s v="Story"/>
    <s v="New music just dropped. Hit play!"/>
    <n v="1205"/>
    <n v="486"/>
    <n v="269"/>
    <n v="23341"/>
    <n v="42411"/>
    <n v="184"/>
    <x v="2"/>
    <x v="3"/>
    <n v="8.3972409065592737E-2"/>
    <x v="1"/>
  </r>
  <r>
    <x v="161"/>
    <x v="0"/>
    <d v="2025-06-15T00:00:00"/>
    <s v="Text"/>
    <s v="Top trending tracks updated daily!"/>
    <n v="4432"/>
    <n v="223"/>
    <n v="299"/>
    <n v="59016"/>
    <n v="21742"/>
    <n v="171"/>
    <x v="2"/>
    <x v="0"/>
    <n v="8.3943337400027115E-2"/>
    <x v="1"/>
  </r>
  <r>
    <x v="162"/>
    <x v="0"/>
    <d v="2025-01-05T00:00:00"/>
    <s v="Story"/>
    <s v="Explore the latest podcasts now."/>
    <n v="3341"/>
    <n v="154"/>
    <n v="123"/>
    <n v="43369"/>
    <n v="49035"/>
    <n v="128"/>
    <x v="1"/>
    <x v="0"/>
    <n v="8.3423643616408028E-2"/>
    <x v="1"/>
  </r>
  <r>
    <x v="163"/>
    <x v="1"/>
    <d v="2024-04-12T00:00:00"/>
    <s v="Story"/>
    <s v="Get into the groove with our new drop!"/>
    <n v="1558"/>
    <n v="352"/>
    <n v="202"/>
    <n v="25405"/>
    <n v="69941"/>
    <n v="219"/>
    <x v="2"/>
    <x v="3"/>
    <n v="8.3133241487896081E-2"/>
    <x v="0"/>
  </r>
  <r>
    <x v="164"/>
    <x v="0"/>
    <d v="2024-10-12T00:00:00"/>
    <s v="Text"/>
    <s v="Get into the groove with our new drop!"/>
    <n v="3169"/>
    <n v="386"/>
    <n v="175"/>
    <n v="45012"/>
    <n v="38508"/>
    <n v="218"/>
    <x v="2"/>
    <x v="0"/>
    <n v="8.2866791077934779E-2"/>
    <x v="0"/>
  </r>
  <r>
    <x v="165"/>
    <x v="2"/>
    <d v="2025-01-15T00:00:00"/>
    <s v="Text"/>
    <s v="Your weekend playlist is waiting."/>
    <n v="2599"/>
    <n v="324"/>
    <n v="182"/>
    <n v="37525"/>
    <n v="37216"/>
    <n v="186"/>
    <x v="3"/>
    <x v="1"/>
    <n v="8.2744836775483013E-2"/>
    <x v="1"/>
  </r>
  <r>
    <x v="166"/>
    <x v="1"/>
    <d v="2024-10-06T00:00:00"/>
    <s v="Text"/>
    <s v="Top trending tracks updated daily!"/>
    <n v="2080"/>
    <n v="389"/>
    <n v="92"/>
    <n v="30971"/>
    <n v="25347"/>
    <n v="111"/>
    <x v="3"/>
    <x v="1"/>
    <n v="8.2690258629040073E-2"/>
    <x v="0"/>
  </r>
  <r>
    <x v="167"/>
    <x v="0"/>
    <d v="2025-06-11T00:00:00"/>
    <s v="Story"/>
    <s v="Explore the latest podcasts now."/>
    <n v="3805"/>
    <n v="453"/>
    <n v="63"/>
    <n v="52395"/>
    <n v="72934"/>
    <n v="87"/>
    <x v="3"/>
    <x v="0"/>
    <n v="8.2469701307376658E-2"/>
    <x v="1"/>
  </r>
  <r>
    <x v="168"/>
    <x v="2"/>
    <d v="2024-03-05T00:00:00"/>
    <s v="Reel"/>
    <s v="Explore the latest podcasts now."/>
    <n v="3558"/>
    <n v="314"/>
    <n v="199"/>
    <n v="49612"/>
    <n v="53929"/>
    <n v="206"/>
    <x v="3"/>
    <x v="2"/>
    <n v="8.205676046117874E-2"/>
    <x v="0"/>
  </r>
  <r>
    <x v="169"/>
    <x v="1"/>
    <d v="2024-12-20T00:00:00"/>
    <s v="Text"/>
    <s v="Discover fresh beats on Spotify!"/>
    <n v="2519"/>
    <n v="202"/>
    <n v="239"/>
    <n v="36245"/>
    <n v="48606"/>
    <n v="145"/>
    <x v="3"/>
    <x v="1"/>
    <n v="8.1666436749896543E-2"/>
    <x v="0"/>
  </r>
  <r>
    <x v="170"/>
    <x v="1"/>
    <d v="2024-10-11T00:00:00"/>
    <s v="Text"/>
    <s v="From pop to podcasts, itâ€™s all here."/>
    <n v="1360"/>
    <n v="249"/>
    <n v="52"/>
    <n v="20368"/>
    <n v="42152"/>
    <n v="193"/>
    <x v="3"/>
    <x v="1"/>
    <n v="8.1549489395129612E-2"/>
    <x v="0"/>
  </r>
  <r>
    <x v="171"/>
    <x v="1"/>
    <d v="2025-05-22T00:00:00"/>
    <s v="Text"/>
    <s v="Discover fresh beats on Spotify!"/>
    <n v="2633"/>
    <n v="318"/>
    <n v="380"/>
    <n v="40869"/>
    <n v="64474"/>
    <n v="245"/>
    <x v="3"/>
    <x v="1"/>
    <n v="8.1504318676747664E-2"/>
    <x v="1"/>
  </r>
  <r>
    <x v="172"/>
    <x v="0"/>
    <d v="2025-04-13T00:00:00"/>
    <s v="Text"/>
    <s v="From pop to podcasts, itâ€™s all here."/>
    <n v="3890"/>
    <n v="408"/>
    <n v="338"/>
    <n v="56994"/>
    <n v="32621"/>
    <n v="286"/>
    <x v="0"/>
    <x v="1"/>
    <n v="8.1341895638137346E-2"/>
    <x v="1"/>
  </r>
  <r>
    <x v="173"/>
    <x v="2"/>
    <d v="2024-10-10T00:00:00"/>
    <s v="Reel"/>
    <s v="From pop to podcasts, itâ€™s all here."/>
    <n v="4013"/>
    <n v="320"/>
    <n v="92"/>
    <n v="54605"/>
    <n v="60169"/>
    <n v="232"/>
    <x v="3"/>
    <x v="2"/>
    <n v="8.1036535115831879E-2"/>
    <x v="0"/>
  </r>
  <r>
    <x v="174"/>
    <x v="0"/>
    <d v="2024-10-20T00:00:00"/>
    <s v="Text"/>
    <s v="From pop to podcasts, itâ€™s all here."/>
    <n v="2752"/>
    <n v="309"/>
    <n v="91"/>
    <n v="39038"/>
    <n v="28095"/>
    <n v="277"/>
    <x v="2"/>
    <x v="0"/>
    <n v="8.0741841282852611E-2"/>
    <x v="0"/>
  </r>
  <r>
    <x v="175"/>
    <x v="1"/>
    <d v="2025-01-01T00:00:00"/>
    <s v="Text"/>
    <s v="New music just dropped. Hit play!"/>
    <n v="4036"/>
    <n v="112"/>
    <n v="382"/>
    <n v="56284"/>
    <n v="29440"/>
    <n v="279"/>
    <x v="0"/>
    <x v="0"/>
    <n v="8.0484684812735408E-2"/>
    <x v="1"/>
  </r>
  <r>
    <x v="176"/>
    <x v="2"/>
    <d v="2024-12-10T00:00:00"/>
    <s v="Text"/>
    <s v="Whatâ€™s your vibe today? #SpotifyHits"/>
    <n v="2569"/>
    <n v="140"/>
    <n v="375"/>
    <n v="38372"/>
    <n v="22102"/>
    <n v="255"/>
    <x v="3"/>
    <x v="1"/>
    <n v="8.0371103929948923E-2"/>
    <x v="0"/>
  </r>
  <r>
    <x v="177"/>
    <x v="2"/>
    <d v="2024-06-09T00:00:00"/>
    <s v="Reel"/>
    <s v="From pop to podcasts, itâ€™s all here."/>
    <n v="2786"/>
    <n v="368"/>
    <n v="208"/>
    <n v="42000"/>
    <n v="39967"/>
    <n v="103"/>
    <x v="3"/>
    <x v="2"/>
    <n v="8.0047619047619048E-2"/>
    <x v="0"/>
  </r>
  <r>
    <x v="178"/>
    <x v="0"/>
    <d v="2025-07-01T00:00:00"/>
    <s v="Story"/>
    <s v="Explore the latest podcasts now."/>
    <n v="3219"/>
    <n v="424"/>
    <n v="267"/>
    <n v="48879"/>
    <n v="37691"/>
    <n v="224"/>
    <x v="3"/>
    <x v="0"/>
    <n v="7.9993453221219743E-2"/>
    <x v="1"/>
  </r>
  <r>
    <x v="179"/>
    <x v="0"/>
    <d v="2024-08-21T00:00:00"/>
    <s v="Story"/>
    <s v="Explore the latest podcasts now."/>
    <n v="3989"/>
    <n v="476"/>
    <n v="128"/>
    <n v="57569"/>
    <n v="40193"/>
    <n v="222"/>
    <x v="3"/>
    <x v="0"/>
    <n v="7.9782521843353188E-2"/>
    <x v="0"/>
  </r>
  <r>
    <x v="180"/>
    <x v="2"/>
    <d v="2024-03-25T00:00:00"/>
    <s v="Reel"/>
    <s v="Explore the latest podcasts now."/>
    <n v="1948"/>
    <n v="155"/>
    <n v="315"/>
    <n v="30321"/>
    <n v="57121"/>
    <n v="82"/>
    <x v="3"/>
    <x v="2"/>
    <n v="7.974671020085089E-2"/>
    <x v="0"/>
  </r>
  <r>
    <x v="181"/>
    <x v="0"/>
    <d v="2025-04-27T00:00:00"/>
    <s v="Text"/>
    <s v="Explore the latest podcasts now."/>
    <n v="1165"/>
    <n v="294"/>
    <n v="163"/>
    <n v="20659"/>
    <n v="45926"/>
    <n v="111"/>
    <x v="0"/>
    <x v="1"/>
    <n v="7.8512996756861422E-2"/>
    <x v="1"/>
  </r>
  <r>
    <x v="182"/>
    <x v="0"/>
    <d v="2025-04-30T00:00:00"/>
    <s v="Story"/>
    <s v="Wrapped is here! Relive your top tracks ðŸŽ§"/>
    <n v="3929"/>
    <n v="275"/>
    <n v="330"/>
    <n v="58329"/>
    <n v="33196"/>
    <n v="85"/>
    <x v="1"/>
    <x v="0"/>
    <n v="7.7731488624869283E-2"/>
    <x v="1"/>
  </r>
  <r>
    <x v="183"/>
    <x v="0"/>
    <d v="2025-04-16T00:00:00"/>
    <s v="Text"/>
    <s v="Wrapped is here! Relive your top tracks ðŸŽ§"/>
    <n v="3792"/>
    <n v="315"/>
    <n v="120"/>
    <n v="54592"/>
    <n v="67886"/>
    <n v="117"/>
    <x v="0"/>
    <x v="1"/>
    <n v="7.7428927315357568E-2"/>
    <x v="1"/>
  </r>
  <r>
    <x v="184"/>
    <x v="0"/>
    <d v="2024-07-19T00:00:00"/>
    <s v="Story"/>
    <s v="Whatâ€™s your vibe today? #SpotifyHits"/>
    <n v="3071"/>
    <n v="126"/>
    <n v="200"/>
    <n v="44013"/>
    <n v="44679"/>
    <n v="118"/>
    <x v="3"/>
    <x v="0"/>
    <n v="7.7181741758116915E-2"/>
    <x v="0"/>
  </r>
  <r>
    <x v="185"/>
    <x v="1"/>
    <d v="2024-07-14T00:00:00"/>
    <s v="Text"/>
    <s v="Wrapped is here! Relive your top tracks ðŸŽ§"/>
    <n v="2464"/>
    <n v="401"/>
    <n v="78"/>
    <n v="38665"/>
    <n v="73593"/>
    <n v="207"/>
    <x v="3"/>
    <x v="1"/>
    <n v="7.611534979956032E-2"/>
    <x v="0"/>
  </r>
  <r>
    <x v="186"/>
    <x v="0"/>
    <d v="2024-05-07T00:00:00"/>
    <s v="Story"/>
    <s v="Explore the latest podcasts now."/>
    <n v="2776"/>
    <n v="307"/>
    <n v="178"/>
    <n v="43365"/>
    <n v="48408"/>
    <n v="138"/>
    <x v="0"/>
    <x v="0"/>
    <n v="7.519889311656866E-2"/>
    <x v="0"/>
  </r>
  <r>
    <x v="187"/>
    <x v="0"/>
    <d v="2025-01-19T00:00:00"/>
    <s v="Story"/>
    <s v="Music that moves youâ€”only on Spotify."/>
    <n v="1651"/>
    <n v="480"/>
    <n v="282"/>
    <n v="32140"/>
    <n v="70560"/>
    <n v="138"/>
    <x v="0"/>
    <x v="0"/>
    <n v="7.5077784691972627E-2"/>
    <x v="1"/>
  </r>
  <r>
    <x v="188"/>
    <x v="0"/>
    <d v="2025-05-15T00:00:00"/>
    <s v="Text"/>
    <s v="New music just dropped. Hit play!"/>
    <n v="1583"/>
    <n v="433"/>
    <n v="249"/>
    <n v="30256"/>
    <n v="47066"/>
    <n v="196"/>
    <x v="2"/>
    <x v="0"/>
    <n v="7.4861184558434685E-2"/>
    <x v="1"/>
  </r>
  <r>
    <x v="189"/>
    <x v="2"/>
    <d v="2024-06-13T00:00:00"/>
    <s v="Text"/>
    <s v="Whatâ€™s your vibe today? #SpotifyHits"/>
    <n v="3882"/>
    <n v="239"/>
    <n v="275"/>
    <n v="58748"/>
    <n v="44646"/>
    <n v="149"/>
    <x v="3"/>
    <x v="1"/>
    <n v="7.4828079253761837E-2"/>
    <x v="0"/>
  </r>
  <r>
    <x v="190"/>
    <x v="0"/>
    <d v="2025-06-18T00:00:00"/>
    <s v="Story"/>
    <s v="Discover fresh beats on Spotify!"/>
    <n v="3956"/>
    <n v="319"/>
    <n v="61"/>
    <n v="58162"/>
    <n v="28720"/>
    <n v="213"/>
    <x v="1"/>
    <x v="0"/>
    <n v="7.4550393727863554E-2"/>
    <x v="1"/>
  </r>
  <r>
    <x v="191"/>
    <x v="1"/>
    <d v="2024-12-14T00:00:00"/>
    <s v="Story"/>
    <s v="From pop to podcasts, itâ€™s all here."/>
    <n v="3812"/>
    <n v="321"/>
    <n v="289"/>
    <n v="59838"/>
    <n v="36337"/>
    <n v="161"/>
    <x v="2"/>
    <x v="3"/>
    <n v="7.3899528727564417E-2"/>
    <x v="0"/>
  </r>
  <r>
    <x v="192"/>
    <x v="2"/>
    <d v="2024-03-17T00:00:00"/>
    <s v="Reel"/>
    <s v="Explore the latest podcasts now."/>
    <n v="2692"/>
    <n v="446"/>
    <n v="216"/>
    <n v="45818"/>
    <n v="62723"/>
    <n v="85"/>
    <x v="3"/>
    <x v="2"/>
    <n v="7.3202671439172376E-2"/>
    <x v="0"/>
  </r>
  <r>
    <x v="193"/>
    <x v="1"/>
    <d v="2025-06-17T00:00:00"/>
    <s v="Text"/>
    <s v="Music that moves youâ€”only on Spotify."/>
    <n v="2284"/>
    <n v="187"/>
    <n v="260"/>
    <n v="37400"/>
    <n v="65014"/>
    <n v="157"/>
    <x v="0"/>
    <x v="0"/>
    <n v="7.3021390374331557E-2"/>
    <x v="1"/>
  </r>
  <r>
    <x v="194"/>
    <x v="1"/>
    <d v="2024-03-19T00:00:00"/>
    <s v="Text"/>
    <s v="From pop to podcasts, itâ€™s all here."/>
    <n v="2878"/>
    <n v="278"/>
    <n v="255"/>
    <n v="47235"/>
    <n v="57922"/>
    <n v="112"/>
    <x v="0"/>
    <x v="0"/>
    <n v="7.2213401079707848E-2"/>
    <x v="0"/>
  </r>
  <r>
    <x v="195"/>
    <x v="0"/>
    <d v="2024-01-21T00:00:00"/>
    <s v="Story"/>
    <s v="Discover fresh beats on Spotify!"/>
    <n v="2383"/>
    <n v="136"/>
    <n v="302"/>
    <n v="39187"/>
    <n v="22133"/>
    <n v="208"/>
    <x v="1"/>
    <x v="0"/>
    <n v="7.1988159338556151E-2"/>
    <x v="0"/>
  </r>
  <r>
    <x v="196"/>
    <x v="0"/>
    <d v="2024-09-16T00:00:00"/>
    <s v="Story"/>
    <s v="Your weekend playlist is waiting."/>
    <n v="3300"/>
    <n v="354"/>
    <n v="397"/>
    <n v="56773"/>
    <n v="72110"/>
    <n v="163"/>
    <x v="3"/>
    <x v="0"/>
    <n v="7.1354340971940891E-2"/>
    <x v="0"/>
  </r>
  <r>
    <x v="197"/>
    <x v="0"/>
    <d v="2024-04-05T00:00:00"/>
    <s v="Story"/>
    <s v="Wrapped is here! Relive your top tracks ðŸŽ§"/>
    <n v="2857"/>
    <n v="443"/>
    <n v="359"/>
    <n v="51519"/>
    <n v="28256"/>
    <n v="155"/>
    <x v="0"/>
    <x v="0"/>
    <n v="7.1022341272152026E-2"/>
    <x v="0"/>
  </r>
  <r>
    <x v="198"/>
    <x v="0"/>
    <d v="2024-11-19T00:00:00"/>
    <s v="Text"/>
    <s v="Explore the latest podcasts now."/>
    <n v="2387"/>
    <n v="353"/>
    <n v="78"/>
    <n v="39745"/>
    <n v="69226"/>
    <n v="208"/>
    <x v="0"/>
    <x v="1"/>
    <n v="7.090200025160398E-2"/>
    <x v="0"/>
  </r>
  <r>
    <x v="199"/>
    <x v="0"/>
    <d v="2024-01-04T00:00:00"/>
    <s v="Story"/>
    <s v="Whatâ€™s your vibe today? #SpotifyHits"/>
    <n v="3208"/>
    <n v="476"/>
    <n v="277"/>
    <n v="56072"/>
    <n v="21061"/>
    <n v="113"/>
    <x v="1"/>
    <x v="0"/>
    <n v="7.064131830503638E-2"/>
    <x v="0"/>
  </r>
  <r>
    <x v="200"/>
    <x v="2"/>
    <d v="2024-10-01T00:00:00"/>
    <s v="Reel"/>
    <s v="Explore the latest podcasts now."/>
    <n v="3543"/>
    <n v="334"/>
    <n v="218"/>
    <n v="58007"/>
    <n v="24792"/>
    <n v="273"/>
    <x v="3"/>
    <x v="2"/>
    <n v="7.0594928198320889E-2"/>
    <x v="0"/>
  </r>
  <r>
    <x v="201"/>
    <x v="0"/>
    <d v="2024-12-03T00:00:00"/>
    <s v="Story"/>
    <s v="New music just dropped. Hit play!"/>
    <n v="3092"/>
    <n v="177"/>
    <n v="81"/>
    <n v="47533"/>
    <n v="29220"/>
    <n v="121"/>
    <x v="1"/>
    <x v="0"/>
    <n v="7.0477352576105018E-2"/>
    <x v="0"/>
  </r>
  <r>
    <x v="202"/>
    <x v="0"/>
    <d v="2025-03-18T00:00:00"/>
    <s v="Story"/>
    <s v="Explore the latest podcasts now."/>
    <n v="3418"/>
    <n v="188"/>
    <n v="387"/>
    <n v="57431"/>
    <n v="36933"/>
    <n v="202"/>
    <x v="1"/>
    <x v="0"/>
    <n v="6.9526910553533799E-2"/>
    <x v="1"/>
  </r>
  <r>
    <x v="203"/>
    <x v="1"/>
    <d v="2024-08-12T00:00:00"/>
    <s v="Story"/>
    <s v="Discover fresh beats on Spotify!"/>
    <n v="2962"/>
    <n v="400"/>
    <n v="280"/>
    <n v="52508"/>
    <n v="58329"/>
    <n v="219"/>
    <x v="2"/>
    <x v="3"/>
    <n v="6.9360859297630834E-2"/>
    <x v="0"/>
  </r>
  <r>
    <x v="204"/>
    <x v="0"/>
    <d v="2024-10-15T00:00:00"/>
    <s v="Text"/>
    <s v="Wrapped is here! Relive your top tracks ðŸŽ§"/>
    <n v="1984"/>
    <n v="481"/>
    <n v="356"/>
    <n v="40681"/>
    <n v="63111"/>
    <n v="258"/>
    <x v="2"/>
    <x v="0"/>
    <n v="6.934441139598338E-2"/>
    <x v="0"/>
  </r>
  <r>
    <x v="205"/>
    <x v="0"/>
    <d v="2024-11-16T00:00:00"/>
    <s v="Text"/>
    <s v="From pop to podcasts, itâ€™s all here."/>
    <n v="2972"/>
    <n v="263"/>
    <n v="308"/>
    <n v="51740"/>
    <n v="28214"/>
    <n v="190"/>
    <x v="0"/>
    <x v="1"/>
    <n v="6.8477000386548123E-2"/>
    <x v="0"/>
  </r>
  <r>
    <x v="206"/>
    <x v="1"/>
    <d v="2024-03-28T00:00:00"/>
    <s v="Text"/>
    <s v="Whatâ€™s your vibe today? #SpotifyHits"/>
    <n v="1673"/>
    <n v="280"/>
    <n v="67"/>
    <n v="29847"/>
    <n v="48016"/>
    <n v="213"/>
    <x v="0"/>
    <x v="0"/>
    <n v="6.76784936509532E-2"/>
    <x v="0"/>
  </r>
  <r>
    <x v="207"/>
    <x v="1"/>
    <d v="2024-02-14T00:00:00"/>
    <s v="Text"/>
    <s v="Music that moves youâ€”only on Spotify."/>
    <n v="1830"/>
    <n v="112"/>
    <n v="181"/>
    <n v="31870"/>
    <n v="55742"/>
    <n v="263"/>
    <x v="0"/>
    <x v="0"/>
    <n v="6.6614370881706936E-2"/>
    <x v="0"/>
  </r>
  <r>
    <x v="208"/>
    <x v="1"/>
    <d v="2024-12-02T00:00:00"/>
    <s v="Text"/>
    <s v="Top trending tracks updated daily!"/>
    <n v="3194"/>
    <n v="292"/>
    <n v="245"/>
    <n v="56371"/>
    <n v="65597"/>
    <n v="163"/>
    <x v="0"/>
    <x v="0"/>
    <n v="6.6186514342481059E-2"/>
    <x v="0"/>
  </r>
  <r>
    <x v="209"/>
    <x v="0"/>
    <d v="2024-02-12T00:00:00"/>
    <s v="Text"/>
    <s v="Explore the latest podcasts now."/>
    <n v="2691"/>
    <n v="486"/>
    <n v="206"/>
    <n v="51133"/>
    <n v="44583"/>
    <n v="276"/>
    <x v="2"/>
    <x v="0"/>
    <n v="6.6160796354604659E-2"/>
    <x v="0"/>
  </r>
  <r>
    <x v="210"/>
    <x v="2"/>
    <d v="2024-06-04T00:00:00"/>
    <s v="Reel"/>
    <s v="Wrapped is here! Relive your top tracks ðŸŽ§"/>
    <n v="1211"/>
    <n v="431"/>
    <n v="83"/>
    <n v="26532"/>
    <n v="47305"/>
    <n v="232"/>
    <x v="3"/>
    <x v="2"/>
    <n v="6.5015829941203071E-2"/>
    <x v="0"/>
  </r>
  <r>
    <x v="211"/>
    <x v="2"/>
    <d v="2024-09-07T00:00:00"/>
    <s v="Text"/>
    <s v="Your weekend playlist is waiting."/>
    <n v="2101"/>
    <n v="411"/>
    <n v="190"/>
    <n v="41791"/>
    <n v="57090"/>
    <n v="172"/>
    <x v="3"/>
    <x v="1"/>
    <n v="6.4655069273288512E-2"/>
    <x v="0"/>
  </r>
  <r>
    <x v="212"/>
    <x v="2"/>
    <d v="2024-06-15T00:00:00"/>
    <s v="Reel"/>
    <s v="Get into the groove with our new drop!"/>
    <n v="1751"/>
    <n v="143"/>
    <n v="151"/>
    <n v="31826"/>
    <n v="47729"/>
    <n v="95"/>
    <x v="3"/>
    <x v="2"/>
    <n v="6.4255640042732362E-2"/>
    <x v="0"/>
  </r>
  <r>
    <x v="213"/>
    <x v="1"/>
    <d v="2024-02-29T00:00:00"/>
    <s v="Text"/>
    <s v="From pop to podcasts, itâ€™s all here."/>
    <n v="1100"/>
    <n v="229"/>
    <n v="312"/>
    <n v="25641"/>
    <n v="34601"/>
    <n v="169"/>
    <x v="3"/>
    <x v="1"/>
    <n v="6.3999063999063993E-2"/>
    <x v="0"/>
  </r>
  <r>
    <x v="214"/>
    <x v="1"/>
    <d v="2024-05-04T00:00:00"/>
    <s v="Text"/>
    <s v="Wrapped is here! Relive your top tracks ðŸŽ§"/>
    <n v="2274"/>
    <n v="243"/>
    <n v="222"/>
    <n v="43066"/>
    <n v="59174"/>
    <n v="80"/>
    <x v="3"/>
    <x v="1"/>
    <n v="6.3600055728416843E-2"/>
    <x v="0"/>
  </r>
  <r>
    <x v="215"/>
    <x v="0"/>
    <d v="2024-09-12T00:00:00"/>
    <s v="Story"/>
    <s v="Wrapped is here! Relive your top tracks ðŸŽ§"/>
    <n v="1839"/>
    <n v="223"/>
    <n v="171"/>
    <n v="35459"/>
    <n v="69988"/>
    <n v="114"/>
    <x v="1"/>
    <x v="0"/>
    <n v="6.2974139146620034E-2"/>
    <x v="0"/>
  </r>
  <r>
    <x v="216"/>
    <x v="0"/>
    <d v="2024-07-13T00:00:00"/>
    <s v="Story"/>
    <s v="Get into the groove with our new drop!"/>
    <n v="2408"/>
    <n v="323"/>
    <n v="251"/>
    <n v="47599"/>
    <n v="35543"/>
    <n v="287"/>
    <x v="1"/>
    <x v="0"/>
    <n v="6.2648374965860634E-2"/>
    <x v="0"/>
  </r>
  <r>
    <x v="217"/>
    <x v="0"/>
    <d v="2024-09-18T00:00:00"/>
    <s v="Text"/>
    <s v="Discover fresh beats on Spotify!"/>
    <n v="2878"/>
    <n v="265"/>
    <n v="91"/>
    <n v="52090"/>
    <n v="28924"/>
    <n v="133"/>
    <x v="2"/>
    <x v="0"/>
    <n v="6.2084853138798232E-2"/>
    <x v="0"/>
  </r>
  <r>
    <x v="218"/>
    <x v="2"/>
    <d v="2024-11-08T00:00:00"/>
    <s v="Text"/>
    <s v="Top trending tracks updated daily!"/>
    <n v="2471"/>
    <n v="166"/>
    <n v="320"/>
    <n v="48254"/>
    <n v="46900"/>
    <n v="111"/>
    <x v="3"/>
    <x v="1"/>
    <n v="6.1279893894806647E-2"/>
    <x v="0"/>
  </r>
  <r>
    <x v="219"/>
    <x v="0"/>
    <d v="2024-04-23T00:00:00"/>
    <s v="Story"/>
    <s v="Discover fresh beats on Spotify!"/>
    <n v="2683"/>
    <n v="496"/>
    <n v="89"/>
    <n v="53435"/>
    <n v="30334"/>
    <n v="160"/>
    <x v="0"/>
    <x v="0"/>
    <n v="6.1158416768035934E-2"/>
    <x v="0"/>
  </r>
  <r>
    <x v="220"/>
    <x v="0"/>
    <d v="2025-06-30T00:00:00"/>
    <s v="Text"/>
    <s v="Whatâ€™s your vibe today? #SpotifyHits"/>
    <n v="2275"/>
    <n v="285"/>
    <n v="125"/>
    <n v="43970"/>
    <n v="74761"/>
    <n v="83"/>
    <x v="2"/>
    <x v="0"/>
    <n v="6.1064362065044349E-2"/>
    <x v="1"/>
  </r>
  <r>
    <x v="221"/>
    <x v="1"/>
    <d v="2025-02-14T00:00:00"/>
    <s v="Text"/>
    <s v="Discover fresh beats on Spotify!"/>
    <n v="2329"/>
    <n v="373"/>
    <n v="291"/>
    <n v="49577"/>
    <n v="28002"/>
    <n v="82"/>
    <x v="0"/>
    <x v="0"/>
    <n v="6.0370736430199488E-2"/>
    <x v="1"/>
  </r>
  <r>
    <x v="222"/>
    <x v="1"/>
    <d v="2024-08-18T00:00:00"/>
    <s v="Text"/>
    <s v="Explore the latest podcasts now."/>
    <n v="2965"/>
    <n v="328"/>
    <n v="171"/>
    <n v="57685"/>
    <n v="67536"/>
    <n v="264"/>
    <x v="0"/>
    <x v="0"/>
    <n v="6.0050273034584378E-2"/>
    <x v="0"/>
  </r>
  <r>
    <x v="223"/>
    <x v="0"/>
    <d v="2024-11-16T00:00:00"/>
    <s v="Text"/>
    <s v="Explore the latest podcasts now."/>
    <n v="2901"/>
    <n v="108"/>
    <n v="86"/>
    <n v="51777"/>
    <n v="23773"/>
    <n v="160"/>
    <x v="0"/>
    <x v="1"/>
    <n v="5.9775576027966085E-2"/>
    <x v="0"/>
  </r>
  <r>
    <x v="224"/>
    <x v="1"/>
    <d v="2024-11-19T00:00:00"/>
    <s v="Text"/>
    <s v="Whatâ€™s your vibe today? #SpotifyHits"/>
    <n v="2525"/>
    <n v="272"/>
    <n v="294"/>
    <n v="51875"/>
    <n v="24732"/>
    <n v="92"/>
    <x v="3"/>
    <x v="1"/>
    <n v="5.9585542168674697E-2"/>
    <x v="0"/>
  </r>
  <r>
    <x v="225"/>
    <x v="1"/>
    <d v="2024-08-26T00:00:00"/>
    <s v="Text"/>
    <s v="Your weekend playlist is waiting."/>
    <n v="2102"/>
    <n v="181"/>
    <n v="306"/>
    <n v="43650"/>
    <n v="50079"/>
    <n v="182"/>
    <x v="3"/>
    <x v="1"/>
    <n v="5.9312714776632303E-2"/>
    <x v="0"/>
  </r>
  <r>
    <x v="226"/>
    <x v="2"/>
    <d v="2024-05-12T00:00:00"/>
    <s v="Text"/>
    <s v="From pop to podcasts, itâ€™s all here."/>
    <n v="2911"/>
    <n v="467"/>
    <n v="94"/>
    <n v="59083"/>
    <n v="49762"/>
    <n v="236"/>
    <x v="3"/>
    <x v="1"/>
    <n v="5.8764788517847777E-2"/>
    <x v="0"/>
  </r>
  <r>
    <x v="227"/>
    <x v="0"/>
    <d v="2024-08-12T00:00:00"/>
    <s v="Story"/>
    <s v="Whatâ€™s your vibe today? #SpotifyHits"/>
    <n v="2842"/>
    <n v="213"/>
    <n v="331"/>
    <n v="57660"/>
    <n v="68606"/>
    <n v="87"/>
    <x v="1"/>
    <x v="0"/>
    <n v="5.8723551855705859E-2"/>
    <x v="0"/>
  </r>
  <r>
    <x v="228"/>
    <x v="1"/>
    <d v="2024-06-29T00:00:00"/>
    <s v="Text"/>
    <s v="Your weekend playlist is waiting."/>
    <n v="2088"/>
    <n v="490"/>
    <n v="124"/>
    <n v="46544"/>
    <n v="69346"/>
    <n v="178"/>
    <x v="0"/>
    <x v="0"/>
    <n v="5.8052595393606049E-2"/>
    <x v="0"/>
  </r>
  <r>
    <x v="229"/>
    <x v="0"/>
    <d v="2025-05-29T00:00:00"/>
    <s v="Story"/>
    <s v="Music that moves youâ€”only on Spotify."/>
    <n v="2134"/>
    <n v="322"/>
    <n v="114"/>
    <n v="44338"/>
    <n v="52165"/>
    <n v="176"/>
    <x v="1"/>
    <x v="0"/>
    <n v="5.7963823356939871E-2"/>
    <x v="1"/>
  </r>
  <r>
    <x v="230"/>
    <x v="0"/>
    <d v="2025-03-04T00:00:00"/>
    <s v="Text"/>
    <s v="Discover fresh beats on Spotify!"/>
    <n v="2177"/>
    <n v="258"/>
    <n v="292"/>
    <n v="47276"/>
    <n v="51324"/>
    <n v="143"/>
    <x v="2"/>
    <x v="0"/>
    <n v="5.7682545054573146E-2"/>
    <x v="1"/>
  </r>
  <r>
    <x v="231"/>
    <x v="0"/>
    <d v="2024-04-03T00:00:00"/>
    <s v="Story"/>
    <s v="Top trending tracks updated daily!"/>
    <n v="2291"/>
    <n v="146"/>
    <n v="399"/>
    <n v="49319"/>
    <n v="28056"/>
    <n v="90"/>
    <x v="3"/>
    <x v="0"/>
    <n v="5.7503193495407452E-2"/>
    <x v="0"/>
  </r>
  <r>
    <x v="232"/>
    <x v="0"/>
    <d v="2025-04-01T00:00:00"/>
    <s v="Story"/>
    <s v="Music that moves youâ€”only on Spotify."/>
    <n v="2665"/>
    <n v="143"/>
    <n v="315"/>
    <n v="54808"/>
    <n v="29818"/>
    <n v="98"/>
    <x v="3"/>
    <x v="0"/>
    <n v="5.6980732739746021E-2"/>
    <x v="1"/>
  </r>
  <r>
    <x v="233"/>
    <x v="0"/>
    <d v="2024-05-10T00:00:00"/>
    <s v="Story"/>
    <s v="Explore the latest podcasts now."/>
    <n v="2784"/>
    <n v="111"/>
    <n v="399"/>
    <n v="58366"/>
    <n v="69512"/>
    <n v="269"/>
    <x v="1"/>
    <x v="0"/>
    <n v="5.6436966727204191E-2"/>
    <x v="0"/>
  </r>
  <r>
    <x v="234"/>
    <x v="0"/>
    <d v="2024-01-12T00:00:00"/>
    <s v="Story"/>
    <s v="Wrapped is here! Relive your top tracks ðŸŽ§"/>
    <n v="2227"/>
    <n v="494"/>
    <n v="161"/>
    <n v="51651"/>
    <n v="68074"/>
    <n v="240"/>
    <x v="3"/>
    <x v="0"/>
    <n v="5.5797564422760453E-2"/>
    <x v="0"/>
  </r>
  <r>
    <x v="235"/>
    <x v="2"/>
    <d v="2025-05-31T00:00:00"/>
    <s v="Reel"/>
    <s v="Get into the groove with our new drop!"/>
    <n v="2162"/>
    <n v="318"/>
    <n v="83"/>
    <n v="46719"/>
    <n v="20482"/>
    <n v="185"/>
    <x v="3"/>
    <x v="2"/>
    <n v="5.4859907104176028E-2"/>
    <x v="1"/>
  </r>
  <r>
    <x v="236"/>
    <x v="1"/>
    <d v="2024-10-08T00:00:00"/>
    <s v="Text"/>
    <s v="Explore the latest podcasts now."/>
    <n v="2110"/>
    <n v="384"/>
    <n v="236"/>
    <n v="49965"/>
    <n v="61555"/>
    <n v="195"/>
    <x v="3"/>
    <x v="1"/>
    <n v="5.4638246772740921E-2"/>
    <x v="0"/>
  </r>
  <r>
    <x v="237"/>
    <x v="0"/>
    <d v="2025-03-20T00:00:00"/>
    <s v="Text"/>
    <s v="Your weekend playlist is waiting."/>
    <n v="1564"/>
    <n v="362"/>
    <n v="371"/>
    <n v="42075"/>
    <n v="66659"/>
    <n v="205"/>
    <x v="0"/>
    <x v="1"/>
    <n v="5.4592988710635768E-2"/>
    <x v="1"/>
  </r>
  <r>
    <x v="238"/>
    <x v="0"/>
    <d v="2024-02-21T00:00:00"/>
    <s v="Story"/>
    <s v="Get into the groove with our new drop!"/>
    <n v="2604"/>
    <n v="439"/>
    <n v="148"/>
    <n v="58468"/>
    <n v="39629"/>
    <n v="163"/>
    <x v="1"/>
    <x v="0"/>
    <n v="5.4576862557296296E-2"/>
    <x v="0"/>
  </r>
  <r>
    <x v="239"/>
    <x v="2"/>
    <d v="2024-03-27T00:00:00"/>
    <s v="Text"/>
    <s v="Music that moves youâ€”only on Spotify."/>
    <n v="2399"/>
    <n v="191"/>
    <n v="221"/>
    <n v="51603"/>
    <n v="40033"/>
    <n v="173"/>
    <x v="3"/>
    <x v="1"/>
    <n v="5.4473577117609438E-2"/>
    <x v="0"/>
  </r>
  <r>
    <x v="240"/>
    <x v="1"/>
    <d v="2024-05-14T00:00:00"/>
    <s v="Text"/>
    <s v="Discover fresh beats on Spotify!"/>
    <n v="1485"/>
    <n v="353"/>
    <n v="244"/>
    <n v="38419"/>
    <n v="38556"/>
    <n v="86"/>
    <x v="0"/>
    <x v="0"/>
    <n v="5.4191936281527367E-2"/>
    <x v="0"/>
  </r>
  <r>
    <x v="241"/>
    <x v="1"/>
    <d v="2025-06-15T00:00:00"/>
    <s v="Text"/>
    <s v="Explore the latest podcasts now."/>
    <n v="2478"/>
    <n v="427"/>
    <n v="242"/>
    <n v="59272"/>
    <n v="37833"/>
    <n v="214"/>
    <x v="0"/>
    <x v="0"/>
    <n v="5.3094209744904843E-2"/>
    <x v="1"/>
  </r>
  <r>
    <x v="242"/>
    <x v="1"/>
    <d v="2025-02-16T00:00:00"/>
    <s v="Text"/>
    <s v="Your weekend playlist is waiting."/>
    <n v="1333"/>
    <n v="286"/>
    <n v="298"/>
    <n v="36174"/>
    <n v="34517"/>
    <n v="170"/>
    <x v="0"/>
    <x v="0"/>
    <n v="5.2993862995521647E-2"/>
    <x v="1"/>
  </r>
  <r>
    <x v="243"/>
    <x v="2"/>
    <d v="2024-02-01T00:00:00"/>
    <s v="Text"/>
    <s v="Wrapped is here! Relive your top tracks ðŸŽ§"/>
    <n v="1432"/>
    <n v="437"/>
    <n v="267"/>
    <n v="40634"/>
    <n v="54511"/>
    <n v="197"/>
    <x v="3"/>
    <x v="1"/>
    <n v="5.2566815966924252E-2"/>
    <x v="0"/>
  </r>
  <r>
    <x v="244"/>
    <x v="0"/>
    <d v="2024-01-17T00:00:00"/>
    <s v="Story"/>
    <s v="New music just dropped. Hit play!"/>
    <n v="2174"/>
    <n v="499"/>
    <n v="212"/>
    <n v="54938"/>
    <n v="27190"/>
    <n v="265"/>
    <x v="1"/>
    <x v="0"/>
    <n v="5.2513742764570971E-2"/>
    <x v="0"/>
  </r>
  <r>
    <x v="245"/>
    <x v="0"/>
    <d v="2024-07-08T00:00:00"/>
    <s v="Story"/>
    <s v="Wrapped is here! Relive your top tracks ðŸŽ§"/>
    <n v="2304"/>
    <n v="289"/>
    <n v="161"/>
    <n v="52645"/>
    <n v="66262"/>
    <n v="146"/>
    <x v="1"/>
    <x v="0"/>
    <n v="5.2312660271630736E-2"/>
    <x v="0"/>
  </r>
  <r>
    <x v="246"/>
    <x v="2"/>
    <d v="2025-05-06T00:00:00"/>
    <s v="Reel"/>
    <s v="Discover fresh beats on Spotify!"/>
    <n v="1085"/>
    <n v="496"/>
    <n v="320"/>
    <n v="36528"/>
    <n v="38599"/>
    <n v="270"/>
    <x v="3"/>
    <x v="2"/>
    <n v="5.2042268944371438E-2"/>
    <x v="1"/>
  </r>
  <r>
    <x v="247"/>
    <x v="0"/>
    <d v="2025-01-12T00:00:00"/>
    <s v="Text"/>
    <s v="Music that moves youâ€”only on Spotify."/>
    <n v="1765"/>
    <n v="285"/>
    <n v="100"/>
    <n v="41313"/>
    <n v="56575"/>
    <n v="174"/>
    <x v="0"/>
    <x v="1"/>
    <n v="5.2041730205988429E-2"/>
    <x v="1"/>
  </r>
  <r>
    <x v="248"/>
    <x v="0"/>
    <d v="2024-11-07T00:00:00"/>
    <s v="Text"/>
    <s v="Explore the latest podcasts now."/>
    <n v="2229"/>
    <n v="395"/>
    <n v="328"/>
    <n v="56921"/>
    <n v="37176"/>
    <n v="126"/>
    <x v="0"/>
    <x v="1"/>
    <n v="5.1861351697967357E-2"/>
    <x v="0"/>
  </r>
  <r>
    <x v="249"/>
    <x v="1"/>
    <d v="2025-01-12T00:00:00"/>
    <s v="Text"/>
    <s v="From pop to podcasts, itâ€™s all here."/>
    <n v="1771"/>
    <n v="487"/>
    <n v="272"/>
    <n v="48810"/>
    <n v="48084"/>
    <n v="272"/>
    <x v="0"/>
    <x v="0"/>
    <n v="5.1833640647408315E-2"/>
    <x v="1"/>
  </r>
  <r>
    <x v="250"/>
    <x v="0"/>
    <d v="2025-05-14T00:00:00"/>
    <s v="Story"/>
    <s v="From pop to podcasts, itâ€™s all here."/>
    <n v="2707"/>
    <n v="103"/>
    <n v="51"/>
    <n v="55302"/>
    <n v="18801"/>
    <n v="147"/>
    <x v="3"/>
    <x v="0"/>
    <n v="5.173411449857148E-2"/>
    <x v="1"/>
  </r>
  <r>
    <x v="251"/>
    <x v="0"/>
    <d v="2024-01-22T00:00:00"/>
    <s v="Story"/>
    <s v="From pop to podcasts, itâ€™s all here."/>
    <n v="1554"/>
    <n v="455"/>
    <n v="158"/>
    <n v="41947"/>
    <n v="48578"/>
    <n v="101"/>
    <x v="0"/>
    <x v="0"/>
    <n v="5.1660428636136076E-2"/>
    <x v="0"/>
  </r>
  <r>
    <x v="252"/>
    <x v="0"/>
    <d v="2024-07-16T00:00:00"/>
    <s v="Text"/>
    <s v="Top trending tracks updated daily!"/>
    <n v="1803"/>
    <n v="273"/>
    <n v="287"/>
    <n v="46176"/>
    <n v="25488"/>
    <n v="141"/>
    <x v="2"/>
    <x v="0"/>
    <n v="5.1173769923769923E-2"/>
    <x v="0"/>
  </r>
  <r>
    <x v="253"/>
    <x v="2"/>
    <d v="2024-08-08T00:00:00"/>
    <s v="Text"/>
    <s v="From pop to podcasts, itâ€™s all here."/>
    <n v="1994"/>
    <n v="197"/>
    <n v="290"/>
    <n v="49500"/>
    <n v="23343"/>
    <n v="160"/>
    <x v="3"/>
    <x v="1"/>
    <n v="5.0121212121212122E-2"/>
    <x v="0"/>
  </r>
  <r>
    <x v="254"/>
    <x v="2"/>
    <d v="2024-02-08T00:00:00"/>
    <s v="Reel"/>
    <s v="Top trending tracks updated daily!"/>
    <n v="1889"/>
    <n v="298"/>
    <n v="122"/>
    <n v="46225"/>
    <n v="74305"/>
    <n v="293"/>
    <x v="3"/>
    <x v="2"/>
    <n v="4.9951325040562468E-2"/>
    <x v="0"/>
  </r>
  <r>
    <x v="255"/>
    <x v="1"/>
    <d v="2025-05-04T00:00:00"/>
    <s v="Story"/>
    <s v="New music just dropped. Hit play!"/>
    <n v="1311"/>
    <n v="181"/>
    <n v="361"/>
    <n v="37148"/>
    <n v="44875"/>
    <n v="245"/>
    <x v="2"/>
    <x v="3"/>
    <n v="4.9881554861634543E-2"/>
    <x v="1"/>
  </r>
  <r>
    <x v="256"/>
    <x v="2"/>
    <d v="2025-05-14T00:00:00"/>
    <s v="Text"/>
    <s v="Discover fresh beats on Spotify!"/>
    <n v="1701"/>
    <n v="272"/>
    <n v="385"/>
    <n v="47496"/>
    <n v="40832"/>
    <n v="246"/>
    <x v="3"/>
    <x v="1"/>
    <n v="4.9646286003031836E-2"/>
    <x v="1"/>
  </r>
  <r>
    <x v="257"/>
    <x v="0"/>
    <d v="2024-09-15T00:00:00"/>
    <s v="Text"/>
    <s v="Get into the groove with our new drop!"/>
    <n v="2145"/>
    <n v="340"/>
    <n v="85"/>
    <n v="53323"/>
    <n v="49938"/>
    <n v="104"/>
    <x v="2"/>
    <x v="0"/>
    <n v="4.819683813738912E-2"/>
    <x v="0"/>
  </r>
  <r>
    <x v="258"/>
    <x v="0"/>
    <d v="2024-05-08T00:00:00"/>
    <s v="Text"/>
    <s v="Explore the latest podcasts now."/>
    <n v="1828"/>
    <n v="450"/>
    <n v="214"/>
    <n v="52115"/>
    <n v="19166"/>
    <n v="190"/>
    <x v="2"/>
    <x v="0"/>
    <n v="4.781732706514439E-2"/>
    <x v="0"/>
  </r>
  <r>
    <x v="259"/>
    <x v="2"/>
    <d v="2024-01-27T00:00:00"/>
    <s v="Text"/>
    <s v="Your weekend playlist is waiting."/>
    <n v="1976"/>
    <n v="262"/>
    <n v="218"/>
    <n v="51696"/>
    <n v="44846"/>
    <n v="139"/>
    <x v="3"/>
    <x v="1"/>
    <n v="4.7508511296812134E-2"/>
    <x v="0"/>
  </r>
  <r>
    <x v="260"/>
    <x v="0"/>
    <d v="2024-06-10T00:00:00"/>
    <s v="Text"/>
    <s v="Whatâ€™s your vibe today? #SpotifyHits"/>
    <n v="1514"/>
    <n v="164"/>
    <n v="275"/>
    <n v="41364"/>
    <n v="44389"/>
    <n v="83"/>
    <x v="2"/>
    <x v="0"/>
    <n v="4.7214969538729328E-2"/>
    <x v="0"/>
  </r>
  <r>
    <x v="261"/>
    <x v="1"/>
    <d v="2025-01-17T00:00:00"/>
    <s v="Text"/>
    <s v="Top trending tracks updated daily!"/>
    <n v="2266"/>
    <n v="126"/>
    <n v="140"/>
    <n v="53759"/>
    <n v="46834"/>
    <n v="277"/>
    <x v="3"/>
    <x v="1"/>
    <n v="4.7099090384865788E-2"/>
    <x v="1"/>
  </r>
  <r>
    <x v="262"/>
    <x v="0"/>
    <d v="2024-12-17T00:00:00"/>
    <s v="Story"/>
    <s v="Music that moves youâ€”only on Spotify."/>
    <n v="1316"/>
    <n v="472"/>
    <n v="286"/>
    <n v="44692"/>
    <n v="53343"/>
    <n v="227"/>
    <x v="3"/>
    <x v="0"/>
    <n v="4.6406515707509172E-2"/>
    <x v="0"/>
  </r>
  <r>
    <x v="263"/>
    <x v="0"/>
    <d v="2024-02-10T00:00:00"/>
    <s v="Text"/>
    <s v="From pop to podcasts, itâ€™s all here."/>
    <n v="1519"/>
    <n v="456"/>
    <n v="379"/>
    <n v="51611"/>
    <n v="45880"/>
    <n v="176"/>
    <x v="0"/>
    <x v="1"/>
    <n v="4.5610431884675749E-2"/>
    <x v="0"/>
  </r>
  <r>
    <x v="264"/>
    <x v="0"/>
    <d v="2024-03-18T00:00:00"/>
    <s v="Text"/>
    <s v="New music just dropped. Hit play!"/>
    <n v="2033"/>
    <n v="420"/>
    <n v="94"/>
    <n v="56290"/>
    <n v="57391"/>
    <n v="196"/>
    <x v="2"/>
    <x v="0"/>
    <n v="4.5247823769763724E-2"/>
    <x v="0"/>
  </r>
  <r>
    <x v="265"/>
    <x v="2"/>
    <d v="2025-04-18T00:00:00"/>
    <s v="Reel"/>
    <s v="Your weekend playlist is waiting."/>
    <n v="1265"/>
    <n v="230"/>
    <n v="364"/>
    <n v="41312"/>
    <n v="50382"/>
    <n v="106"/>
    <x v="3"/>
    <x v="2"/>
    <n v="4.4999031758326875E-2"/>
    <x v="1"/>
  </r>
  <r>
    <x v="266"/>
    <x v="0"/>
    <d v="2025-05-14T00:00:00"/>
    <s v="Story"/>
    <s v="Wrapped is here! Relive your top tracks ðŸŽ§"/>
    <n v="1371"/>
    <n v="139"/>
    <n v="96"/>
    <n v="36140"/>
    <n v="39395"/>
    <n v="169"/>
    <x v="0"/>
    <x v="0"/>
    <n v="4.4438295517432211E-2"/>
    <x v="1"/>
  </r>
  <r>
    <x v="267"/>
    <x v="1"/>
    <d v="2025-01-09T00:00:00"/>
    <s v="Text"/>
    <s v="New music just dropped. Hit play!"/>
    <n v="1015"/>
    <n v="366"/>
    <n v="308"/>
    <n v="38127"/>
    <n v="63790"/>
    <n v="287"/>
    <x v="0"/>
    <x v="0"/>
    <n v="4.4299315445747112E-2"/>
    <x v="1"/>
  </r>
  <r>
    <x v="268"/>
    <x v="0"/>
    <d v="2024-07-07T00:00:00"/>
    <s v="Text"/>
    <s v="Whatâ€™s your vibe today? #SpotifyHits"/>
    <n v="1848"/>
    <n v="417"/>
    <n v="294"/>
    <n v="57819"/>
    <n v="19798"/>
    <n v="262"/>
    <x v="0"/>
    <x v="1"/>
    <n v="4.4258807658382193E-2"/>
    <x v="0"/>
  </r>
  <r>
    <x v="269"/>
    <x v="0"/>
    <d v="2024-11-03T00:00:00"/>
    <s v="Story"/>
    <s v="Wrapped is here! Relive your top tracks ðŸŽ§"/>
    <n v="1959"/>
    <n v="316"/>
    <n v="82"/>
    <n v="54036"/>
    <n v="69015"/>
    <n v="182"/>
    <x v="1"/>
    <x v="0"/>
    <n v="4.3619068768968837E-2"/>
    <x v="0"/>
  </r>
  <r>
    <x v="270"/>
    <x v="1"/>
    <d v="2024-11-07T00:00:00"/>
    <s v="Story"/>
    <s v="Wrapped is here! Relive your top tracks ðŸŽ§"/>
    <n v="1678"/>
    <n v="423"/>
    <n v="323"/>
    <n v="55668"/>
    <n v="37945"/>
    <n v="230"/>
    <x v="2"/>
    <x v="3"/>
    <n v="4.3543867212761371E-2"/>
    <x v="0"/>
  </r>
  <r>
    <x v="271"/>
    <x v="0"/>
    <d v="2024-03-19T00:00:00"/>
    <s v="Text"/>
    <s v="From pop to podcasts, itâ€™s all here."/>
    <n v="2191"/>
    <n v="288"/>
    <n v="83"/>
    <n v="59606"/>
    <n v="24765"/>
    <n v="281"/>
    <x v="0"/>
    <x v="1"/>
    <n v="4.2982250109049422E-2"/>
    <x v="0"/>
  </r>
  <r>
    <x v="272"/>
    <x v="0"/>
    <d v="2024-05-16T00:00:00"/>
    <s v="Story"/>
    <s v="Music that moves youâ€”only on Spotify."/>
    <n v="2023"/>
    <n v="124"/>
    <n v="99"/>
    <n v="54524"/>
    <n v="34790"/>
    <n v="195"/>
    <x v="3"/>
    <x v="0"/>
    <n v="4.1192869195216787E-2"/>
    <x v="0"/>
  </r>
  <r>
    <x v="273"/>
    <x v="0"/>
    <d v="2024-05-19T00:00:00"/>
    <s v="Story"/>
    <s v="Get into the groove with our new drop!"/>
    <n v="1763"/>
    <n v="206"/>
    <n v="187"/>
    <n v="53342"/>
    <n v="25095"/>
    <n v="88"/>
    <x v="3"/>
    <x v="0"/>
    <n v="4.0418432004799221E-2"/>
    <x v="0"/>
  </r>
  <r>
    <x v="274"/>
    <x v="0"/>
    <d v="2025-06-19T00:00:00"/>
    <s v="Story"/>
    <s v="Whatâ€™s your vibe today? #SpotifyHits"/>
    <n v="1433"/>
    <n v="452"/>
    <n v="305"/>
    <n v="54541"/>
    <n v="63700"/>
    <n v="296"/>
    <x v="3"/>
    <x v="0"/>
    <n v="4.0153279184466734E-2"/>
    <x v="1"/>
  </r>
  <r>
    <x v="275"/>
    <x v="1"/>
    <d v="2024-09-06T00:00:00"/>
    <s v="Text"/>
    <s v="New music just dropped. Hit play!"/>
    <n v="1452"/>
    <n v="281"/>
    <n v="326"/>
    <n v="51556"/>
    <n v="62599"/>
    <n v="290"/>
    <x v="3"/>
    <x v="1"/>
    <n v="3.9937155714174881E-2"/>
    <x v="0"/>
  </r>
  <r>
    <x v="276"/>
    <x v="1"/>
    <d v="2024-11-25T00:00:00"/>
    <s v="Text"/>
    <s v="From pop to podcasts, itâ€™s all here."/>
    <n v="1341"/>
    <n v="472"/>
    <n v="238"/>
    <n v="51386"/>
    <n v="51706"/>
    <n v="133"/>
    <x v="3"/>
    <x v="1"/>
    <n v="3.9913595142645857E-2"/>
    <x v="0"/>
  </r>
  <r>
    <x v="277"/>
    <x v="1"/>
    <d v="2024-09-09T00:00:00"/>
    <s v="Text"/>
    <s v="New music just dropped. Hit play!"/>
    <n v="1616"/>
    <n v="360"/>
    <n v="180"/>
    <n v="54342"/>
    <n v="18796"/>
    <n v="282"/>
    <x v="0"/>
    <x v="0"/>
    <n v="3.9674653122814763E-2"/>
    <x v="0"/>
  </r>
  <r>
    <x v="278"/>
    <x v="0"/>
    <d v="2025-04-07T00:00:00"/>
    <s v="Text"/>
    <s v="From pop to podcasts, itâ€™s all here."/>
    <n v="1403"/>
    <n v="385"/>
    <n v="344"/>
    <n v="54223"/>
    <n v="72595"/>
    <n v="239"/>
    <x v="0"/>
    <x v="1"/>
    <n v="3.9319108127547353E-2"/>
    <x v="1"/>
  </r>
  <r>
    <x v="279"/>
    <x v="1"/>
    <d v="2024-09-10T00:00:00"/>
    <s v="Story"/>
    <s v="New music just dropped. Hit play!"/>
    <n v="1230"/>
    <n v="309"/>
    <n v="207"/>
    <n v="44629"/>
    <n v="40699"/>
    <n v="195"/>
    <x v="2"/>
    <x v="3"/>
    <n v="3.9122543637545096E-2"/>
    <x v="0"/>
  </r>
  <r>
    <x v="280"/>
    <x v="2"/>
    <d v="2024-09-03T00:00:00"/>
    <s v="Reel"/>
    <s v="Whatâ€™s your vibe today? #SpotifyHits"/>
    <n v="1437"/>
    <n v="494"/>
    <n v="129"/>
    <n v="53048"/>
    <n v="44090"/>
    <n v="230"/>
    <x v="3"/>
    <x v="2"/>
    <n v="3.8832755240536872E-2"/>
    <x v="0"/>
  </r>
  <r>
    <x v="281"/>
    <x v="0"/>
    <d v="2024-07-07T00:00:00"/>
    <s v="Text"/>
    <s v="New music just dropped. Hit play!"/>
    <n v="1035"/>
    <n v="137"/>
    <n v="184"/>
    <n v="37302"/>
    <n v="68953"/>
    <n v="237"/>
    <x v="0"/>
    <x v="1"/>
    <n v="3.6351938233874857E-2"/>
    <x v="0"/>
  </r>
  <r>
    <x v="282"/>
    <x v="0"/>
    <d v="2024-02-24T00:00:00"/>
    <s v="Story"/>
    <s v="Music that moves youâ€”only on Spotify."/>
    <n v="1022"/>
    <n v="463"/>
    <n v="360"/>
    <n v="51468"/>
    <n v="24279"/>
    <n v="230"/>
    <x v="3"/>
    <x v="0"/>
    <n v="3.5847516903707161E-2"/>
    <x v="0"/>
  </r>
  <r>
    <x v="283"/>
    <x v="2"/>
    <d v="2024-12-08T00:00:00"/>
    <s v="Text"/>
    <s v="Top trending tracks updated daily!"/>
    <n v="1424"/>
    <n v="396"/>
    <n v="312"/>
    <n v="59517"/>
    <n v="46102"/>
    <n v="239"/>
    <x v="3"/>
    <x v="1"/>
    <n v="3.5821698002251455E-2"/>
    <x v="0"/>
  </r>
  <r>
    <x v="284"/>
    <x v="2"/>
    <d v="2024-05-26T00:00:00"/>
    <s v="Text"/>
    <s v="From pop to podcasts, itâ€™s all here."/>
    <n v="1488"/>
    <n v="327"/>
    <n v="110"/>
    <n v="53805"/>
    <n v="30239"/>
    <n v="109"/>
    <x v="3"/>
    <x v="1"/>
    <n v="3.5777344113000653E-2"/>
    <x v="0"/>
  </r>
  <r>
    <x v="285"/>
    <x v="1"/>
    <d v="2025-06-27T00:00:00"/>
    <s v="Story"/>
    <s v="Whatâ€™s your vibe today? #SpotifyHits"/>
    <n v="1342"/>
    <n v="332"/>
    <n v="163"/>
    <n v="51712"/>
    <n v="57922"/>
    <n v="168"/>
    <x v="2"/>
    <x v="3"/>
    <n v="3.5523669554455448E-2"/>
    <x v="1"/>
  </r>
  <r>
    <x v="286"/>
    <x v="0"/>
    <d v="2025-02-01T00:00:00"/>
    <s v="Story"/>
    <s v="Top trending tracks updated daily!"/>
    <n v="1079"/>
    <n v="265"/>
    <n v="190"/>
    <n v="43786"/>
    <n v="72428"/>
    <n v="222"/>
    <x v="0"/>
    <x v="0"/>
    <n v="3.5034029141734799E-2"/>
    <x v="1"/>
  </r>
  <r>
    <x v="287"/>
    <x v="1"/>
    <d v="2024-02-18T00:00:00"/>
    <s v="Story"/>
    <s v="From pop to podcasts, itâ€™s all here."/>
    <n v="1516"/>
    <n v="215"/>
    <n v="332"/>
    <n v="58981"/>
    <n v="36118"/>
    <n v="211"/>
    <x v="2"/>
    <x v="3"/>
    <n v="3.4977365592309385E-2"/>
    <x v="0"/>
  </r>
  <r>
    <x v="288"/>
    <x v="0"/>
    <d v="2024-01-28T00:00:00"/>
    <s v="Text"/>
    <s v="Music that moves youâ€”only on Spotify."/>
    <n v="1456"/>
    <n v="265"/>
    <n v="137"/>
    <n v="53485"/>
    <n v="59729"/>
    <n v="145"/>
    <x v="0"/>
    <x v="1"/>
    <n v="3.4738711788351875E-2"/>
    <x v="0"/>
  </r>
  <r>
    <x v="289"/>
    <x v="2"/>
    <d v="2025-01-29T00:00:00"/>
    <s v="Text"/>
    <s v="New music just dropped. Hit play!"/>
    <n v="1334"/>
    <n v="357"/>
    <n v="257"/>
    <n v="56910"/>
    <n v="70606"/>
    <n v="228"/>
    <x v="3"/>
    <x v="1"/>
    <n v="3.4229485151994379E-2"/>
    <x v="1"/>
  </r>
  <r>
    <x v="290"/>
    <x v="0"/>
    <d v="2025-05-03T00:00:00"/>
    <s v="Story"/>
    <s v="Top trending tracks updated daily!"/>
    <n v="1010"/>
    <n v="361"/>
    <n v="240"/>
    <n v="47229"/>
    <n v="72573"/>
    <n v="275"/>
    <x v="0"/>
    <x v="0"/>
    <n v="3.4110398272247981E-2"/>
    <x v="1"/>
  </r>
  <r>
    <x v="291"/>
    <x v="2"/>
    <d v="2025-03-20T00:00:00"/>
    <s v="Reel"/>
    <s v="From pop to podcasts, itâ€™s all here."/>
    <n v="1453"/>
    <n v="156"/>
    <n v="178"/>
    <n v="52980"/>
    <n v="57180"/>
    <n v="286"/>
    <x v="3"/>
    <x v="2"/>
    <n v="3.3729709324273313E-2"/>
    <x v="1"/>
  </r>
  <r>
    <x v="292"/>
    <x v="0"/>
    <d v="2024-11-13T00:00:00"/>
    <s v="Story"/>
    <s v="New music just dropped. Hit play!"/>
    <n v="1409"/>
    <n v="466"/>
    <n v="105"/>
    <n v="58923"/>
    <n v="38753"/>
    <n v="265"/>
    <x v="3"/>
    <x v="0"/>
    <n v="3.3603177027646251E-2"/>
    <x v="0"/>
  </r>
  <r>
    <x v="293"/>
    <x v="1"/>
    <d v="2024-12-27T00:00:00"/>
    <s v="Text"/>
    <s v="From pop to podcasts, itâ€™s all here."/>
    <n v="1436"/>
    <n v="219"/>
    <n v="229"/>
    <n v="58488"/>
    <n v="24314"/>
    <n v="147"/>
    <x v="3"/>
    <x v="1"/>
    <n v="3.221173574066475E-2"/>
    <x v="0"/>
  </r>
  <r>
    <x v="294"/>
    <x v="2"/>
    <d v="2024-05-30T00:00:00"/>
    <s v="Reel"/>
    <s v="Whatâ€™s your vibe today? #SpotifyHits"/>
    <n v="1060"/>
    <n v="442"/>
    <n v="319"/>
    <n v="57194"/>
    <n v="24258"/>
    <n v="101"/>
    <x v="3"/>
    <x v="2"/>
    <n v="3.1839004091338254E-2"/>
    <x v="0"/>
  </r>
  <r>
    <x v="295"/>
    <x v="0"/>
    <d v="2024-04-14T00:00:00"/>
    <s v="Story"/>
    <s v="Discover fresh beats on Spotify!"/>
    <n v="1295"/>
    <n v="153"/>
    <n v="81"/>
    <n v="48350"/>
    <n v="61033"/>
    <n v="232"/>
    <x v="3"/>
    <x v="0"/>
    <n v="3.1623578076525334E-2"/>
    <x v="0"/>
  </r>
  <r>
    <x v="296"/>
    <x v="0"/>
    <d v="2024-06-19T00:00:00"/>
    <s v="Text"/>
    <s v="Whatâ€™s your vibe today? #SpotifyHits"/>
    <n v="1224"/>
    <n v="168"/>
    <n v="199"/>
    <n v="54232"/>
    <n v="52844"/>
    <n v="271"/>
    <x v="0"/>
    <x v="1"/>
    <n v="2.9336922849977874E-2"/>
    <x v="0"/>
  </r>
  <r>
    <x v="297"/>
    <x v="2"/>
    <d v="2024-01-10T00:00:00"/>
    <s v="Text"/>
    <s v="Explore the latest podcasts now."/>
    <n v="1261"/>
    <n v="190"/>
    <n v="233"/>
    <n v="59888"/>
    <n v="51449"/>
    <n v="205"/>
    <x v="3"/>
    <x v="1"/>
    <n v="2.811915575741384E-2"/>
    <x v="0"/>
  </r>
  <r>
    <x v="298"/>
    <x v="0"/>
    <d v="2024-11-28T00:00:00"/>
    <s v="Story"/>
    <s v="New music just dropped. Hit play!"/>
    <n v="1131"/>
    <n v="100"/>
    <n v="116"/>
    <n v="48437"/>
    <n v="72704"/>
    <n v="236"/>
    <x v="3"/>
    <x v="0"/>
    <n v="2.7809319322005904E-2"/>
    <x v="0"/>
  </r>
  <r>
    <x v="299"/>
    <x v="2"/>
    <d v="2024-08-10T00:00:00"/>
    <s v="Text"/>
    <s v="From pop to podcasts, itâ€™s all here."/>
    <n v="1105"/>
    <n v="181"/>
    <n v="55"/>
    <n v="53581"/>
    <n v="74048"/>
    <n v="220"/>
    <x v="3"/>
    <x v="1"/>
    <n v="2.50275284149232E-2"/>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s v="2024-06-15"/>
    <s v="2024-07-15"/>
    <s v="Brand Awareness"/>
    <n v="175000"/>
    <s v="Instagram,YouTube"/>
    <s v="#SpotifyWrapped,#MusicForEveryone"/>
  </r>
  <r>
    <x v="1"/>
    <s v="2024-12-01"/>
    <s v="2024-12-31"/>
    <s v="Engagement"/>
    <n v="225000"/>
    <s v="Twitter,YouTube"/>
    <s v="#SpotifyWrapped,#NowPlaying"/>
  </r>
  <r>
    <x v="2"/>
    <s v="2025-01-10"/>
    <s v="2025-02-10"/>
    <s v="Product Launch"/>
    <n v="200000"/>
    <s v="Instagram,Twitter"/>
    <s v="#ChillVibes,#SoundtrackOfLife"/>
  </r>
  <r>
    <x v="3"/>
    <s v="2025-03-01"/>
    <s v="2025-03-31"/>
    <s v="Traffic"/>
    <n v="160000"/>
    <s v="Facebook,Instagram"/>
    <s v="#DiscoverWeekly,#IndieWa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73CFC7-47D1-472F-9E1E-A57484AD3E3E}"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K15" firstHeaderRow="1" firstDataRow="1" firstDataCol="1"/>
  <pivotFields count="16">
    <pivotField showAll="0"/>
    <pivotField showAll="0"/>
    <pivotField numFmtId="22" showAll="0"/>
    <pivotField showAll="0"/>
    <pivotField showAll="0"/>
    <pivotField showAll="0"/>
    <pivotField showAll="0"/>
    <pivotField showAll="0"/>
    <pivotField showAll="0"/>
    <pivotField showAll="0"/>
    <pivotField dataField="1" showAll="0"/>
    <pivotField axis="axisRow" showAll="0" sortType="descending">
      <items count="6">
        <item x="3"/>
        <item x="1"/>
        <item x="2"/>
        <item x="0"/>
        <item m="1" x="4"/>
        <item t="default"/>
      </items>
      <autoSortScope>
        <pivotArea dataOnly="0" outline="0" fieldPosition="0">
          <references count="1">
            <reference field="4294967294" count="1" selected="0">
              <x v="0"/>
            </reference>
          </references>
        </pivotArea>
      </autoSortScope>
    </pivotField>
    <pivotField showAll="0"/>
    <pivotField numFmtId="10" showAll="0"/>
    <pivotField showAll="0">
      <items count="3">
        <item x="0"/>
        <item x="1"/>
        <item t="default"/>
      </items>
    </pivotField>
    <pivotField dragToRow="0" dragToCol="0" dragToPage="0" showAll="0" defaultSubtotal="0"/>
  </pivotFields>
  <rowFields count="1">
    <field x="11"/>
  </rowFields>
  <rowItems count="5">
    <i>
      <x/>
    </i>
    <i>
      <x v="3"/>
    </i>
    <i>
      <x v="2"/>
    </i>
    <i>
      <x v="1"/>
    </i>
    <i t="grand">
      <x/>
    </i>
  </rowItems>
  <colItems count="1">
    <i/>
  </colItems>
  <dataFields count="1">
    <dataField name="Average of Clicks" fld="10" subtotal="average" baseField="11" baseItem="0"/>
  </dataFields>
  <formats count="14">
    <format dxfId="89">
      <pivotArea grandRow="1" outline="0" collapsedLevelsAreSubtotals="1" fieldPosition="0"/>
    </format>
    <format dxfId="88">
      <pivotArea type="all" dataOnly="0" outline="0" fieldPosition="0"/>
    </format>
    <format dxfId="87">
      <pivotArea outline="0" collapsedLevelsAreSubtotals="1" fieldPosition="0"/>
    </format>
    <format dxfId="86">
      <pivotArea field="11" type="button" dataOnly="0" labelOnly="1" outline="0" axis="axisRow" fieldPosition="0"/>
    </format>
    <format dxfId="85">
      <pivotArea dataOnly="0" labelOnly="1" fieldPosition="0">
        <references count="1">
          <reference field="11" count="0"/>
        </references>
      </pivotArea>
    </format>
    <format dxfId="84">
      <pivotArea dataOnly="0" labelOnly="1" grandRow="1" outline="0" fieldPosition="0"/>
    </format>
    <format dxfId="83">
      <pivotArea dataOnly="0" labelOnly="1" outline="0" axis="axisValues" fieldPosition="0"/>
    </format>
    <format dxfId="82">
      <pivotArea type="all" dataOnly="0" outline="0" fieldPosition="0"/>
    </format>
    <format dxfId="81">
      <pivotArea outline="0" collapsedLevelsAreSubtotals="1" fieldPosition="0"/>
    </format>
    <format dxfId="80">
      <pivotArea field="11" type="button" dataOnly="0" labelOnly="1" outline="0" axis="axisRow" fieldPosition="0"/>
    </format>
    <format dxfId="79">
      <pivotArea dataOnly="0" labelOnly="1" fieldPosition="0">
        <references count="1">
          <reference field="11" count="0"/>
        </references>
      </pivotArea>
    </format>
    <format dxfId="78">
      <pivotArea dataOnly="0" labelOnly="1" grandRow="1" outline="0" fieldPosition="0"/>
    </format>
    <format dxfId="77">
      <pivotArea dataOnly="0" labelOnly="1" outline="0" axis="axisValues" fieldPosition="0"/>
    </format>
    <format dxfId="76">
      <pivotArea collapsedLevelsAreSubtotals="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D96A53-CD8F-4653-BAAE-322079D2C3FA}"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0:H20" firstHeaderRow="0" firstDataRow="1" firstDataCol="2"/>
  <pivotFields count="17">
    <pivotField compact="0" outline="0" showAll="0"/>
    <pivotField axis="axisRow" compact="0" outline="0" showAll="0">
      <items count="4">
        <item x="0"/>
        <item x="1"/>
        <item x="2"/>
        <item t="default"/>
      </items>
    </pivotField>
    <pivotField compact="0" numFmtId="165" outline="0" showAll="0">
      <items count="236">
        <item x="58"/>
        <item x="118"/>
        <item x="222"/>
        <item x="54"/>
        <item x="122"/>
        <item x="68"/>
        <item x="233"/>
        <item x="75"/>
        <item x="174"/>
        <item x="198"/>
        <item x="137"/>
        <item x="72"/>
        <item x="91"/>
        <item x="125"/>
        <item x="119"/>
        <item x="197"/>
        <item x="201"/>
        <item x="16"/>
        <item x="234"/>
        <item x="148"/>
        <item x="192"/>
        <item x="43"/>
        <item x="97"/>
        <item x="110"/>
        <item x="219"/>
        <item x="223"/>
        <item x="120"/>
        <item x="115"/>
        <item x="87"/>
        <item x="25"/>
        <item x="9"/>
        <item x="44"/>
        <item x="92"/>
        <item x="90"/>
        <item x="217"/>
        <item x="178"/>
        <item x="164"/>
        <item x="89"/>
        <item x="86"/>
        <item x="215"/>
        <item x="65"/>
        <item x="64"/>
        <item x="154"/>
        <item x="129"/>
        <item x="3"/>
        <item x="147"/>
        <item x="186"/>
        <item x="57"/>
        <item x="157"/>
        <item x="38"/>
        <item x="82"/>
        <item x="143"/>
        <item x="98"/>
        <item x="33"/>
        <item x="13"/>
        <item x="29"/>
        <item x="52"/>
        <item x="6"/>
        <item x="173"/>
        <item x="116"/>
        <item x="48"/>
        <item x="10"/>
        <item x="111"/>
        <item x="71"/>
        <item x="62"/>
        <item x="140"/>
        <item x="158"/>
        <item x="211"/>
        <item x="20"/>
        <item x="15"/>
        <item x="4"/>
        <item x="208"/>
        <item x="17"/>
        <item x="167"/>
        <item x="135"/>
        <item x="196"/>
        <item x="218"/>
        <item x="226"/>
        <item x="104"/>
        <item x="228"/>
        <item x="161"/>
        <item x="18"/>
        <item x="60"/>
        <item x="207"/>
        <item x="177"/>
        <item x="166"/>
        <item x="42"/>
        <item x="108"/>
        <item x="55"/>
        <item x="184"/>
        <item x="105"/>
        <item x="94"/>
        <item x="84"/>
        <item x="165"/>
        <item x="80"/>
        <item x="209"/>
        <item x="151"/>
        <item x="56"/>
        <item x="50"/>
        <item x="227"/>
        <item x="81"/>
        <item x="182"/>
        <item x="78"/>
        <item x="132"/>
        <item x="46"/>
        <item x="156"/>
        <item x="144"/>
        <item x="49"/>
        <item x="41"/>
        <item x="102"/>
        <item x="107"/>
        <item x="35"/>
        <item x="179"/>
        <item x="204"/>
        <item x="172"/>
        <item x="99"/>
        <item x="141"/>
        <item x="124"/>
        <item x="133"/>
        <item x="127"/>
        <item x="180"/>
        <item x="12"/>
        <item x="30"/>
        <item x="22"/>
        <item x="69"/>
        <item x="95"/>
        <item x="191"/>
        <item x="93"/>
        <item x="21"/>
        <item x="200"/>
        <item x="224"/>
        <item x="96"/>
        <item x="59"/>
        <item x="117"/>
        <item x="19"/>
        <item x="216"/>
        <item x="162"/>
        <item x="88"/>
        <item x="150"/>
        <item x="213"/>
        <item x="128"/>
        <item x="103"/>
        <item x="155"/>
        <item x="36"/>
        <item x="130"/>
        <item x="24"/>
        <item x="214"/>
        <item x="221"/>
        <item x="2"/>
        <item x="8"/>
        <item x="176"/>
        <item x="193"/>
        <item x="203"/>
        <item x="163"/>
        <item x="66"/>
        <item x="5"/>
        <item x="202"/>
        <item x="134"/>
        <item x="230"/>
        <item x="14"/>
        <item x="181"/>
        <item x="28"/>
        <item x="79"/>
        <item x="67"/>
        <item x="31"/>
        <item x="175"/>
        <item x="101"/>
        <item x="189"/>
        <item x="171"/>
        <item x="113"/>
        <item x="212"/>
        <item x="100"/>
        <item x="74"/>
        <item x="61"/>
        <item x="39"/>
        <item x="153"/>
        <item x="225"/>
        <item x="1"/>
        <item x="210"/>
        <item x="45"/>
        <item x="138"/>
        <item x="40"/>
        <item x="106"/>
        <item x="83"/>
        <item x="53"/>
        <item x="170"/>
        <item x="145"/>
        <item x="220"/>
        <item x="51"/>
        <item x="77"/>
        <item x="231"/>
        <item x="131"/>
        <item x="26"/>
        <item x="123"/>
        <item x="146"/>
        <item x="199"/>
        <item x="160"/>
        <item x="159"/>
        <item x="183"/>
        <item x="205"/>
        <item x="139"/>
        <item x="109"/>
        <item x="63"/>
        <item x="229"/>
        <item x="47"/>
        <item x="27"/>
        <item x="85"/>
        <item x="114"/>
        <item x="185"/>
        <item x="0"/>
        <item x="70"/>
        <item x="32"/>
        <item x="194"/>
        <item x="23"/>
        <item x="126"/>
        <item x="168"/>
        <item x="136"/>
        <item x="149"/>
        <item x="34"/>
        <item x="73"/>
        <item x="112"/>
        <item x="190"/>
        <item x="169"/>
        <item x="206"/>
        <item x="37"/>
        <item x="142"/>
        <item x="7"/>
        <item x="76"/>
        <item x="11"/>
        <item x="187"/>
        <item x="195"/>
        <item x="188"/>
        <item x="152"/>
        <item x="232"/>
        <item x="121"/>
        <item t="default"/>
      </items>
    </pivotField>
    <pivotField axis="axisRow" compact="0" outline="0" showAll="0">
      <items count="4">
        <item x="2"/>
        <item x="1"/>
        <item x="0"/>
        <item t="default"/>
      </items>
    </pivotField>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s>
  <rowFields count="2">
    <field x="1"/>
    <field x="3"/>
  </rowFields>
  <rowItems count="10">
    <i>
      <x/>
      <x v="1"/>
    </i>
    <i r="1">
      <x v="2"/>
    </i>
    <i t="default">
      <x/>
    </i>
    <i>
      <x v="1"/>
      <x v="1"/>
    </i>
    <i r="1">
      <x v="2"/>
    </i>
    <i t="default">
      <x v="1"/>
    </i>
    <i>
      <x v="2"/>
      <x/>
    </i>
    <i r="1">
      <x v="2"/>
    </i>
    <i t="default">
      <x v="2"/>
    </i>
    <i t="grand">
      <x/>
    </i>
  </rowItems>
  <colFields count="1">
    <field x="-2"/>
  </colFields>
  <colItems count="3">
    <i>
      <x/>
    </i>
    <i i="1">
      <x v="1"/>
    </i>
    <i i="2">
      <x v="2"/>
    </i>
  </colItems>
  <dataFields count="3">
    <dataField name="Sum of Likes" fld="5" baseField="0" baseItem="0"/>
    <dataField name="Sum of Comments" fld="7" baseField="0" baseItem="0"/>
    <dataField name="Sum of Shares" fld="6" baseField="0" baseItem="0"/>
  </dataFields>
  <formats count="22">
    <format dxfId="111">
      <pivotArea type="all" dataOnly="0" outline="0" fieldPosition="0"/>
    </format>
    <format dxfId="110">
      <pivotArea outline="0" collapsedLevelsAreSubtotals="1" fieldPosition="0"/>
    </format>
    <format dxfId="109">
      <pivotArea field="1" type="button" dataOnly="0" labelOnly="1" outline="0" axis="axisRow" fieldPosition="0"/>
    </format>
    <format dxfId="108">
      <pivotArea field="3" type="button" dataOnly="0" labelOnly="1" outline="0" axis="axisRow" fieldPosition="1"/>
    </format>
    <format dxfId="107">
      <pivotArea dataOnly="0" labelOnly="1" outline="0" fieldPosition="0">
        <references count="1">
          <reference field="1" count="0"/>
        </references>
      </pivotArea>
    </format>
    <format dxfId="106">
      <pivotArea dataOnly="0" labelOnly="1" outline="0" fieldPosition="0">
        <references count="1">
          <reference field="1" count="0" defaultSubtotal="1"/>
        </references>
      </pivotArea>
    </format>
    <format dxfId="105">
      <pivotArea dataOnly="0" labelOnly="1" grandRow="1" outline="0" fieldPosition="0"/>
    </format>
    <format dxfId="104">
      <pivotArea dataOnly="0" labelOnly="1" outline="0" fieldPosition="0">
        <references count="2">
          <reference field="1" count="1" selected="0">
            <x v="0"/>
          </reference>
          <reference field="3" count="2">
            <x v="1"/>
            <x v="2"/>
          </reference>
        </references>
      </pivotArea>
    </format>
    <format dxfId="103">
      <pivotArea dataOnly="0" labelOnly="1" outline="0" fieldPosition="0">
        <references count="2">
          <reference field="1" count="1" selected="0">
            <x v="1"/>
          </reference>
          <reference field="3" count="2">
            <x v="1"/>
            <x v="2"/>
          </reference>
        </references>
      </pivotArea>
    </format>
    <format dxfId="102">
      <pivotArea dataOnly="0" labelOnly="1" outline="0" fieldPosition="0">
        <references count="2">
          <reference field="1" count="1" selected="0">
            <x v="2"/>
          </reference>
          <reference field="3" count="2">
            <x v="0"/>
            <x v="2"/>
          </reference>
        </references>
      </pivotArea>
    </format>
    <format dxfId="101">
      <pivotArea dataOnly="0" labelOnly="1" outline="0" fieldPosition="0">
        <references count="1">
          <reference field="4294967294" count="3">
            <x v="0"/>
            <x v="1"/>
            <x v="2"/>
          </reference>
        </references>
      </pivotArea>
    </format>
    <format dxfId="100">
      <pivotArea type="all" dataOnly="0" outline="0" fieldPosition="0"/>
    </format>
    <format dxfId="99">
      <pivotArea outline="0" collapsedLevelsAreSubtotals="1" fieldPosition="0"/>
    </format>
    <format dxfId="98">
      <pivotArea field="1" type="button" dataOnly="0" labelOnly="1" outline="0" axis="axisRow" fieldPosition="0"/>
    </format>
    <format dxfId="97">
      <pivotArea field="3" type="button" dataOnly="0" labelOnly="1" outline="0" axis="axisRow" fieldPosition="1"/>
    </format>
    <format dxfId="96">
      <pivotArea dataOnly="0" labelOnly="1" outline="0" fieldPosition="0">
        <references count="1">
          <reference field="1" count="0"/>
        </references>
      </pivotArea>
    </format>
    <format dxfId="95">
      <pivotArea dataOnly="0" labelOnly="1" outline="0" fieldPosition="0">
        <references count="1">
          <reference field="1" count="0" defaultSubtotal="1"/>
        </references>
      </pivotArea>
    </format>
    <format dxfId="94">
      <pivotArea dataOnly="0" labelOnly="1" grandRow="1" outline="0" fieldPosition="0"/>
    </format>
    <format dxfId="93">
      <pivotArea dataOnly="0" labelOnly="1" outline="0" fieldPosition="0">
        <references count="2">
          <reference field="1" count="1" selected="0">
            <x v="0"/>
          </reference>
          <reference field="3" count="2">
            <x v="1"/>
            <x v="2"/>
          </reference>
        </references>
      </pivotArea>
    </format>
    <format dxfId="92">
      <pivotArea dataOnly="0" labelOnly="1" outline="0" fieldPosition="0">
        <references count="2">
          <reference field="1" count="1" selected="0">
            <x v="1"/>
          </reference>
          <reference field="3" count="2">
            <x v="1"/>
            <x v="2"/>
          </reference>
        </references>
      </pivotArea>
    </format>
    <format dxfId="91">
      <pivotArea dataOnly="0" labelOnly="1" outline="0" fieldPosition="0">
        <references count="2">
          <reference field="1" count="1" selected="0">
            <x v="2"/>
          </reference>
          <reference field="3" count="2">
            <x v="0"/>
            <x v="2"/>
          </reference>
        </references>
      </pivotArea>
    </format>
    <format dxfId="90">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0FCD67-7932-4A4D-8E6A-FCFE370BA8D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4" firstHeaderRow="1" firstDataRow="1" firstDataCol="1"/>
  <pivotFields count="17">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65" showAll="0">
      <items count="236">
        <item x="58"/>
        <item x="118"/>
        <item x="222"/>
        <item x="54"/>
        <item x="122"/>
        <item x="68"/>
        <item x="233"/>
        <item x="75"/>
        <item x="174"/>
        <item x="198"/>
        <item x="137"/>
        <item x="72"/>
        <item x="91"/>
        <item x="125"/>
        <item x="119"/>
        <item x="197"/>
        <item x="201"/>
        <item x="16"/>
        <item x="234"/>
        <item x="148"/>
        <item x="192"/>
        <item x="43"/>
        <item x="97"/>
        <item x="110"/>
        <item x="219"/>
        <item x="223"/>
        <item x="120"/>
        <item x="115"/>
        <item x="87"/>
        <item x="25"/>
        <item x="9"/>
        <item x="44"/>
        <item x="92"/>
        <item x="90"/>
        <item x="217"/>
        <item x="178"/>
        <item x="164"/>
        <item x="89"/>
        <item x="86"/>
        <item x="215"/>
        <item x="65"/>
        <item x="64"/>
        <item x="154"/>
        <item x="129"/>
        <item x="3"/>
        <item x="147"/>
        <item x="186"/>
        <item x="57"/>
        <item x="157"/>
        <item x="38"/>
        <item x="82"/>
        <item x="143"/>
        <item x="98"/>
        <item x="33"/>
        <item x="13"/>
        <item x="29"/>
        <item x="52"/>
        <item x="6"/>
        <item x="173"/>
        <item x="116"/>
        <item x="48"/>
        <item x="10"/>
        <item x="111"/>
        <item x="71"/>
        <item x="62"/>
        <item x="140"/>
        <item x="158"/>
        <item x="211"/>
        <item x="20"/>
        <item x="15"/>
        <item x="4"/>
        <item x="208"/>
        <item x="17"/>
        <item x="167"/>
        <item x="135"/>
        <item x="196"/>
        <item x="218"/>
        <item x="226"/>
        <item x="104"/>
        <item x="228"/>
        <item x="161"/>
        <item x="18"/>
        <item x="60"/>
        <item x="207"/>
        <item x="177"/>
        <item x="166"/>
        <item x="42"/>
        <item x="108"/>
        <item x="55"/>
        <item x="184"/>
        <item x="105"/>
        <item x="94"/>
        <item x="84"/>
        <item x="165"/>
        <item x="80"/>
        <item x="209"/>
        <item x="151"/>
        <item x="56"/>
        <item x="50"/>
        <item x="227"/>
        <item x="81"/>
        <item x="182"/>
        <item x="78"/>
        <item x="132"/>
        <item x="46"/>
        <item x="156"/>
        <item x="144"/>
        <item x="49"/>
        <item x="41"/>
        <item x="102"/>
        <item x="107"/>
        <item x="35"/>
        <item x="179"/>
        <item x="204"/>
        <item x="172"/>
        <item x="99"/>
        <item x="141"/>
        <item x="124"/>
        <item x="133"/>
        <item x="127"/>
        <item x="180"/>
        <item x="12"/>
        <item x="30"/>
        <item x="22"/>
        <item x="69"/>
        <item x="95"/>
        <item x="191"/>
        <item x="93"/>
        <item x="21"/>
        <item x="200"/>
        <item x="224"/>
        <item x="96"/>
        <item x="59"/>
        <item x="117"/>
        <item x="19"/>
        <item x="216"/>
        <item x="162"/>
        <item x="88"/>
        <item x="150"/>
        <item x="213"/>
        <item x="128"/>
        <item x="103"/>
        <item x="155"/>
        <item x="36"/>
        <item x="130"/>
        <item x="24"/>
        <item x="214"/>
        <item x="221"/>
        <item x="2"/>
        <item x="8"/>
        <item x="176"/>
        <item x="193"/>
        <item x="203"/>
        <item x="163"/>
        <item x="66"/>
        <item x="5"/>
        <item x="202"/>
        <item x="134"/>
        <item x="230"/>
        <item x="14"/>
        <item x="181"/>
        <item x="28"/>
        <item x="79"/>
        <item x="67"/>
        <item x="31"/>
        <item x="175"/>
        <item x="101"/>
        <item x="189"/>
        <item x="171"/>
        <item x="113"/>
        <item x="212"/>
        <item x="100"/>
        <item x="74"/>
        <item x="61"/>
        <item x="39"/>
        <item x="153"/>
        <item x="225"/>
        <item x="1"/>
        <item x="210"/>
        <item x="45"/>
        <item x="138"/>
        <item x="40"/>
        <item x="106"/>
        <item x="83"/>
        <item x="53"/>
        <item x="170"/>
        <item x="145"/>
        <item x="220"/>
        <item x="51"/>
        <item x="77"/>
        <item x="231"/>
        <item x="131"/>
        <item x="26"/>
        <item x="123"/>
        <item x="146"/>
        <item x="199"/>
        <item x="160"/>
        <item x="159"/>
        <item x="183"/>
        <item x="205"/>
        <item x="139"/>
        <item x="109"/>
        <item x="63"/>
        <item x="229"/>
        <item x="47"/>
        <item x="27"/>
        <item x="85"/>
        <item x="114"/>
        <item x="185"/>
        <item x="0"/>
        <item x="70"/>
        <item x="32"/>
        <item x="194"/>
        <item x="23"/>
        <item x="126"/>
        <item x="168"/>
        <item x="136"/>
        <item x="149"/>
        <item x="34"/>
        <item x="73"/>
        <item x="112"/>
        <item x="190"/>
        <item x="169"/>
        <item x="206"/>
        <item x="37"/>
        <item x="142"/>
        <item x="7"/>
        <item x="76"/>
        <item x="11"/>
        <item x="187"/>
        <item x="195"/>
        <item x="188"/>
        <item x="152"/>
        <item x="232"/>
        <item x="121"/>
        <item t="default"/>
      </items>
    </pivotField>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s>
  <rowFields count="1">
    <field x="1"/>
  </rowFields>
  <rowItems count="4">
    <i>
      <x v="1"/>
    </i>
    <i>
      <x/>
    </i>
    <i>
      <x v="2"/>
    </i>
    <i t="grand">
      <x/>
    </i>
  </rowItems>
  <colItems count="1">
    <i/>
  </colItems>
  <dataFields count="1">
    <dataField name="Average of Platform Engagement Rate" fld="13" subtotal="average" baseField="1" baseItem="2" numFmtId="168"/>
  </dataFields>
  <formats count="15">
    <format dxfId="126">
      <pivotArea field="1" type="button" dataOnly="0" labelOnly="1" outline="0" axis="axisRow" fieldPosition="0"/>
    </format>
    <format dxfId="125">
      <pivotArea collapsedLevelsAreSubtotals="1" fieldPosition="0">
        <references count="1">
          <reference field="1" count="0"/>
        </references>
      </pivotArea>
    </format>
    <format dxfId="124">
      <pivotArea type="all" dataOnly="0" outline="0" fieldPosition="0"/>
    </format>
    <format dxfId="123">
      <pivotArea outline="0" collapsedLevelsAreSubtotals="1" fieldPosition="0"/>
    </format>
    <format dxfId="122">
      <pivotArea field="1" type="button" dataOnly="0" labelOnly="1" outline="0" axis="axisRow" fieldPosition="0"/>
    </format>
    <format dxfId="121">
      <pivotArea dataOnly="0" labelOnly="1" fieldPosition="0">
        <references count="1">
          <reference field="1" count="0"/>
        </references>
      </pivotArea>
    </format>
    <format dxfId="120">
      <pivotArea dataOnly="0" labelOnly="1" grandRow="1" outline="0" fieldPosition="0"/>
    </format>
    <format dxfId="119">
      <pivotArea dataOnly="0" labelOnly="1" outline="0" axis="axisValues" fieldPosition="0"/>
    </format>
    <format dxfId="118">
      <pivotArea type="all" dataOnly="0" outline="0" fieldPosition="0"/>
    </format>
    <format dxfId="117">
      <pivotArea outline="0" collapsedLevelsAreSubtotals="1" fieldPosition="0"/>
    </format>
    <format dxfId="116">
      <pivotArea field="1" type="button" dataOnly="0" labelOnly="1" outline="0" axis="axisRow" fieldPosition="0"/>
    </format>
    <format dxfId="115">
      <pivotArea dataOnly="0" labelOnly="1" fieldPosition="0">
        <references count="1">
          <reference field="1" count="0"/>
        </references>
      </pivotArea>
    </format>
    <format dxfId="114">
      <pivotArea dataOnly="0" labelOnly="1" grandRow="1" outline="0" fieldPosition="0"/>
    </format>
    <format dxfId="113">
      <pivotArea dataOnly="0" labelOnly="1" outline="0" axis="axisValues" fieldPosition="0"/>
    </format>
    <format dxfId="1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CCC699-4975-4BA1-A0A1-6D395D69701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D34" firstHeaderRow="0" firstDataRow="1" firstDataCol="1"/>
  <pivotFields count="16">
    <pivotField showAll="0"/>
    <pivotField showAll="0"/>
    <pivotField numFmtId="22" showAll="0"/>
    <pivotField showAll="0"/>
    <pivotField showAll="0"/>
    <pivotField dataField="1" showAll="0"/>
    <pivotField dataField="1" showAll="0"/>
    <pivotField dataField="1" showAll="0"/>
    <pivotField showAll="0"/>
    <pivotField showAll="0"/>
    <pivotField showAll="0"/>
    <pivotField axis="axisRow" showAll="0">
      <items count="6">
        <item x="3"/>
        <item x="1"/>
        <item x="2"/>
        <item x="0"/>
        <item m="1" x="4"/>
        <item t="default"/>
      </items>
    </pivotField>
    <pivotField showAll="0"/>
    <pivotField numFmtId="10" showAll="0"/>
    <pivotField showAll="0">
      <items count="3">
        <item x="0"/>
        <item x="1"/>
        <item t="default"/>
      </items>
    </pivotField>
    <pivotField dragToRow="0" dragToCol="0" dragToPage="0" showAll="0" defaultSubtotal="0"/>
  </pivotFields>
  <rowFields count="1">
    <field x="11"/>
  </rowFields>
  <rowItems count="5">
    <i>
      <x/>
    </i>
    <i>
      <x v="1"/>
    </i>
    <i>
      <x v="2"/>
    </i>
    <i>
      <x v="3"/>
    </i>
    <i t="grand">
      <x/>
    </i>
  </rowItems>
  <colFields count="1">
    <field x="-2"/>
  </colFields>
  <colItems count="3">
    <i>
      <x/>
    </i>
    <i i="1">
      <x v="1"/>
    </i>
    <i i="2">
      <x v="2"/>
    </i>
  </colItems>
  <dataFields count="3">
    <dataField name="Sum of Likes" fld="5" baseField="0" baseItem="0"/>
    <dataField name="Sum of Comments" fld="7" baseField="0" baseItem="0"/>
    <dataField name="Sum of Shares" fld="6" baseField="0" baseItem="0"/>
  </dataFields>
  <formats count="12">
    <format dxfId="138">
      <pivotArea type="all" dataOnly="0" outline="0" fieldPosition="0"/>
    </format>
    <format dxfId="137">
      <pivotArea outline="0" collapsedLevelsAreSubtotals="1" fieldPosition="0"/>
    </format>
    <format dxfId="136">
      <pivotArea field="11" type="button" dataOnly="0" labelOnly="1" outline="0" axis="axisRow" fieldPosition="0"/>
    </format>
    <format dxfId="135">
      <pivotArea dataOnly="0" labelOnly="1" fieldPosition="0">
        <references count="1">
          <reference field="11" count="0"/>
        </references>
      </pivotArea>
    </format>
    <format dxfId="134">
      <pivotArea dataOnly="0" labelOnly="1" grandRow="1" outline="0" fieldPosition="0"/>
    </format>
    <format dxfId="133">
      <pivotArea dataOnly="0" labelOnly="1" outline="0" fieldPosition="0">
        <references count="1">
          <reference field="4294967294" count="3">
            <x v="0"/>
            <x v="1"/>
            <x v="2"/>
          </reference>
        </references>
      </pivotArea>
    </format>
    <format dxfId="132">
      <pivotArea type="all" dataOnly="0" outline="0" fieldPosition="0"/>
    </format>
    <format dxfId="131">
      <pivotArea outline="0" collapsedLevelsAreSubtotals="1" fieldPosition="0"/>
    </format>
    <format dxfId="130">
      <pivotArea field="11" type="button" dataOnly="0" labelOnly="1" outline="0" axis="axisRow" fieldPosition="0"/>
    </format>
    <format dxfId="129">
      <pivotArea dataOnly="0" labelOnly="1" fieldPosition="0">
        <references count="1">
          <reference field="11" count="0"/>
        </references>
      </pivotArea>
    </format>
    <format dxfId="128">
      <pivotArea dataOnly="0" labelOnly="1" grandRow="1" outline="0" fieldPosition="0"/>
    </format>
    <format dxfId="12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D9C231-1092-4F2A-8748-0C0EF14E242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2:T36" firstHeaderRow="0" firstDataRow="1" firstDataCol="1"/>
  <pivotFields count="17">
    <pivotField showAll="0"/>
    <pivotField axis="axisRow" showAll="0" sortType="descending">
      <items count="4">
        <item x="0"/>
        <item x="1"/>
        <item x="2"/>
        <item t="default"/>
      </items>
      <autoSortScope>
        <pivotArea dataOnly="0" outline="0" fieldPosition="0">
          <references count="1">
            <reference field="4294967294" count="1" selected="0">
              <x v="3"/>
            </reference>
          </references>
        </pivotArea>
      </autoSortScope>
    </pivotField>
    <pivotField numFmtId="165" showAll="0">
      <items count="236">
        <item x="58"/>
        <item x="118"/>
        <item x="222"/>
        <item x="54"/>
        <item x="122"/>
        <item x="68"/>
        <item x="233"/>
        <item x="75"/>
        <item x="174"/>
        <item x="198"/>
        <item x="137"/>
        <item x="72"/>
        <item x="91"/>
        <item x="125"/>
        <item x="119"/>
        <item x="197"/>
        <item x="201"/>
        <item x="16"/>
        <item x="234"/>
        <item x="148"/>
        <item x="192"/>
        <item x="43"/>
        <item x="97"/>
        <item x="110"/>
        <item x="219"/>
        <item x="223"/>
        <item x="120"/>
        <item x="115"/>
        <item x="87"/>
        <item x="25"/>
        <item x="9"/>
        <item x="44"/>
        <item x="92"/>
        <item x="90"/>
        <item x="217"/>
        <item x="178"/>
        <item x="164"/>
        <item x="89"/>
        <item x="86"/>
        <item x="215"/>
        <item x="65"/>
        <item x="64"/>
        <item x="154"/>
        <item x="129"/>
        <item x="3"/>
        <item x="147"/>
        <item x="186"/>
        <item x="57"/>
        <item x="157"/>
        <item x="38"/>
        <item x="82"/>
        <item x="143"/>
        <item x="98"/>
        <item x="33"/>
        <item x="13"/>
        <item x="29"/>
        <item x="52"/>
        <item x="6"/>
        <item x="173"/>
        <item x="116"/>
        <item x="48"/>
        <item x="10"/>
        <item x="111"/>
        <item x="71"/>
        <item x="62"/>
        <item x="140"/>
        <item x="158"/>
        <item x="211"/>
        <item x="20"/>
        <item x="15"/>
        <item x="4"/>
        <item x="208"/>
        <item x="17"/>
        <item x="167"/>
        <item x="135"/>
        <item x="196"/>
        <item x="218"/>
        <item x="226"/>
        <item x="104"/>
        <item x="228"/>
        <item x="161"/>
        <item x="18"/>
        <item x="60"/>
        <item x="207"/>
        <item x="177"/>
        <item x="166"/>
        <item x="42"/>
        <item x="108"/>
        <item x="55"/>
        <item x="184"/>
        <item x="105"/>
        <item x="94"/>
        <item x="84"/>
        <item x="165"/>
        <item x="80"/>
        <item x="209"/>
        <item x="151"/>
        <item x="56"/>
        <item x="50"/>
        <item x="227"/>
        <item x="81"/>
        <item x="182"/>
        <item x="78"/>
        <item x="132"/>
        <item x="46"/>
        <item x="156"/>
        <item x="144"/>
        <item x="49"/>
        <item x="41"/>
        <item x="102"/>
        <item x="107"/>
        <item x="35"/>
        <item x="179"/>
        <item x="204"/>
        <item x="172"/>
        <item x="99"/>
        <item x="141"/>
        <item x="124"/>
        <item x="133"/>
        <item x="127"/>
        <item x="180"/>
        <item x="12"/>
        <item x="30"/>
        <item x="22"/>
        <item x="69"/>
        <item x="95"/>
        <item x="191"/>
        <item x="93"/>
        <item x="21"/>
        <item x="200"/>
        <item x="224"/>
        <item x="96"/>
        <item x="59"/>
        <item x="117"/>
        <item x="19"/>
        <item x="216"/>
        <item x="162"/>
        <item x="88"/>
        <item x="150"/>
        <item x="213"/>
        <item x="128"/>
        <item x="103"/>
        <item x="155"/>
        <item x="36"/>
        <item x="130"/>
        <item x="24"/>
        <item x="214"/>
        <item x="221"/>
        <item x="2"/>
        <item x="8"/>
        <item x="176"/>
        <item x="193"/>
        <item x="203"/>
        <item x="163"/>
        <item x="66"/>
        <item x="5"/>
        <item x="202"/>
        <item x="134"/>
        <item x="230"/>
        <item x="14"/>
        <item x="181"/>
        <item x="28"/>
        <item x="79"/>
        <item x="67"/>
        <item x="31"/>
        <item x="175"/>
        <item x="101"/>
        <item x="189"/>
        <item x="171"/>
        <item x="113"/>
        <item x="212"/>
        <item x="100"/>
        <item x="74"/>
        <item x="61"/>
        <item x="39"/>
        <item x="153"/>
        <item x="225"/>
        <item x="1"/>
        <item x="210"/>
        <item x="45"/>
        <item x="138"/>
        <item x="40"/>
        <item x="106"/>
        <item x="83"/>
        <item x="53"/>
        <item x="170"/>
        <item x="145"/>
        <item x="220"/>
        <item x="51"/>
        <item x="77"/>
        <item x="231"/>
        <item x="131"/>
        <item x="26"/>
        <item x="123"/>
        <item x="146"/>
        <item x="199"/>
        <item x="160"/>
        <item x="159"/>
        <item x="183"/>
        <item x="205"/>
        <item x="139"/>
        <item x="109"/>
        <item x="63"/>
        <item x="229"/>
        <item x="47"/>
        <item x="27"/>
        <item x="85"/>
        <item x="114"/>
        <item x="185"/>
        <item x="0"/>
        <item x="70"/>
        <item x="32"/>
        <item x="194"/>
        <item x="23"/>
        <item x="126"/>
        <item x="168"/>
        <item x="136"/>
        <item x="149"/>
        <item x="34"/>
        <item x="73"/>
        <item x="112"/>
        <item x="190"/>
        <item x="169"/>
        <item x="206"/>
        <item x="37"/>
        <item x="142"/>
        <item x="7"/>
        <item x="76"/>
        <item x="11"/>
        <item x="187"/>
        <item x="195"/>
        <item x="188"/>
        <item x="152"/>
        <item x="232"/>
        <item x="121"/>
        <item t="default"/>
      </items>
    </pivotField>
    <pivotField showAll="0"/>
    <pivotField showAll="0"/>
    <pivotField dataField="1" showAll="0"/>
    <pivotField dataField="1" showAll="0"/>
    <pivotField dataField="1"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s>
  <rowFields count="1">
    <field x="1"/>
  </rowFields>
  <rowItems count="4">
    <i>
      <x v="1"/>
    </i>
    <i>
      <x/>
    </i>
    <i>
      <x v="2"/>
    </i>
    <i t="grand">
      <x/>
    </i>
  </rowItems>
  <colFields count="1">
    <field x="-2"/>
  </colFields>
  <colItems count="4">
    <i>
      <x/>
    </i>
    <i i="1">
      <x v="1"/>
    </i>
    <i i="2">
      <x v="2"/>
    </i>
    <i i="3">
      <x v="3"/>
    </i>
  </colItems>
  <dataFields count="4">
    <dataField name="Sum of Likes" fld="5" baseField="0" baseItem="0"/>
    <dataField name="Sum of Comments" fld="7" baseField="0" baseItem="0"/>
    <dataField name="Sum of Shares" fld="6" baseField="0" baseItem="0"/>
    <dataField name="Average of Plateform Engagement rate" fld="14" subtotal="average" baseField="1" baseItem="0"/>
  </dataFields>
  <formats count="14">
    <format dxfId="52">
      <pivotArea type="all" dataOnly="0" outline="0" fieldPosition="0"/>
    </format>
    <format dxfId="51">
      <pivotArea outline="0" collapsedLevelsAreSubtotals="1" fieldPosition="0"/>
    </format>
    <format dxfId="50">
      <pivotArea field="1" type="button" dataOnly="0" labelOnly="1" outline="0" axis="axisRow" fieldPosition="0"/>
    </format>
    <format dxfId="49">
      <pivotArea dataOnly="0" labelOnly="1" fieldPosition="0">
        <references count="1">
          <reference field="1" count="0"/>
        </references>
      </pivotArea>
    </format>
    <format dxfId="48">
      <pivotArea dataOnly="0" labelOnly="1" grandRow="1" outline="0" fieldPosition="0"/>
    </format>
    <format dxfId="47">
      <pivotArea dataOnly="0" labelOnly="1" outline="0" fieldPosition="0">
        <references count="1">
          <reference field="4294967294" count="4">
            <x v="0"/>
            <x v="1"/>
            <x v="2"/>
            <x v="3"/>
          </reference>
        </references>
      </pivotArea>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outline="0" fieldPosition="0">
        <references count="1">
          <reference field="4294967294" count="4">
            <x v="0"/>
            <x v="1"/>
            <x v="2"/>
            <x v="3"/>
          </reference>
        </references>
      </pivotArea>
    </format>
    <format dxfId="40">
      <pivotArea collapsedLevelsAreSubtotals="1" fieldPosition="0">
        <references count="2">
          <reference field="4294967294" count="1" selected="0">
            <x v="3"/>
          </reference>
          <reference field="1" count="0"/>
        </references>
      </pivotArea>
    </format>
    <format dxfId="39">
      <pivotArea field="1" grandRow="1" outline="0" collapsedLevelsAreSubtotals="1" axis="axisRow"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78C52D-7842-4C38-BE7B-74BDB1B36FA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0:U14" firstHeaderRow="0" firstDataRow="1" firstDataCol="1"/>
  <pivotFields count="17">
    <pivotField showAll="0"/>
    <pivotField axis="axisRow" showAll="0" sortType="descending">
      <items count="4">
        <item x="0"/>
        <item x="1"/>
        <item x="2"/>
        <item t="default"/>
      </items>
      <autoSortScope>
        <pivotArea dataOnly="0" outline="0" fieldPosition="0">
          <references count="1">
            <reference field="4294967294" count="1" selected="0">
              <x v="4"/>
            </reference>
          </references>
        </pivotArea>
      </autoSortScope>
    </pivotField>
    <pivotField numFmtId="165" showAll="0">
      <items count="236">
        <item x="58"/>
        <item x="118"/>
        <item x="222"/>
        <item x="54"/>
        <item x="122"/>
        <item x="68"/>
        <item x="233"/>
        <item x="75"/>
        <item x="174"/>
        <item x="198"/>
        <item x="137"/>
        <item x="72"/>
        <item x="91"/>
        <item x="125"/>
        <item x="119"/>
        <item x="197"/>
        <item x="201"/>
        <item x="16"/>
        <item x="234"/>
        <item x="148"/>
        <item x="192"/>
        <item x="43"/>
        <item x="97"/>
        <item x="110"/>
        <item x="219"/>
        <item x="223"/>
        <item x="120"/>
        <item x="115"/>
        <item x="87"/>
        <item x="25"/>
        <item x="9"/>
        <item x="44"/>
        <item x="92"/>
        <item x="90"/>
        <item x="217"/>
        <item x="178"/>
        <item x="164"/>
        <item x="89"/>
        <item x="86"/>
        <item x="215"/>
        <item x="65"/>
        <item x="64"/>
        <item x="154"/>
        <item x="129"/>
        <item x="3"/>
        <item x="147"/>
        <item x="186"/>
        <item x="57"/>
        <item x="157"/>
        <item x="38"/>
        <item x="82"/>
        <item x="143"/>
        <item x="98"/>
        <item x="33"/>
        <item x="13"/>
        <item x="29"/>
        <item x="52"/>
        <item x="6"/>
        <item x="173"/>
        <item x="116"/>
        <item x="48"/>
        <item x="10"/>
        <item x="111"/>
        <item x="71"/>
        <item x="62"/>
        <item x="140"/>
        <item x="158"/>
        <item x="211"/>
        <item x="20"/>
        <item x="15"/>
        <item x="4"/>
        <item x="208"/>
        <item x="17"/>
        <item x="167"/>
        <item x="135"/>
        <item x="196"/>
        <item x="218"/>
        <item x="226"/>
        <item x="104"/>
        <item x="228"/>
        <item x="161"/>
        <item x="18"/>
        <item x="60"/>
        <item x="207"/>
        <item x="177"/>
        <item x="166"/>
        <item x="42"/>
        <item x="108"/>
        <item x="55"/>
        <item x="184"/>
        <item x="105"/>
        <item x="94"/>
        <item x="84"/>
        <item x="165"/>
        <item x="80"/>
        <item x="209"/>
        <item x="151"/>
        <item x="56"/>
        <item x="50"/>
        <item x="227"/>
        <item x="81"/>
        <item x="182"/>
        <item x="78"/>
        <item x="132"/>
        <item x="46"/>
        <item x="156"/>
        <item x="144"/>
        <item x="49"/>
        <item x="41"/>
        <item x="102"/>
        <item x="107"/>
        <item x="35"/>
        <item x="179"/>
        <item x="204"/>
        <item x="172"/>
        <item x="99"/>
        <item x="141"/>
        <item x="124"/>
        <item x="133"/>
        <item x="127"/>
        <item x="180"/>
        <item x="12"/>
        <item x="30"/>
        <item x="22"/>
        <item x="69"/>
        <item x="95"/>
        <item x="191"/>
        <item x="93"/>
        <item x="21"/>
        <item x="200"/>
        <item x="224"/>
        <item x="96"/>
        <item x="59"/>
        <item x="117"/>
        <item x="19"/>
        <item x="216"/>
        <item x="162"/>
        <item x="88"/>
        <item x="150"/>
        <item x="213"/>
        <item x="128"/>
        <item x="103"/>
        <item x="155"/>
        <item x="36"/>
        <item x="130"/>
        <item x="24"/>
        <item x="214"/>
        <item x="221"/>
        <item x="2"/>
        <item x="8"/>
        <item x="176"/>
        <item x="193"/>
        <item x="203"/>
        <item x="163"/>
        <item x="66"/>
        <item x="5"/>
        <item x="202"/>
        <item x="134"/>
        <item x="230"/>
        <item x="14"/>
        <item x="181"/>
        <item x="28"/>
        <item x="79"/>
        <item x="67"/>
        <item x="31"/>
        <item x="175"/>
        <item x="101"/>
        <item x="189"/>
        <item x="171"/>
        <item x="113"/>
        <item x="212"/>
        <item x="100"/>
        <item x="74"/>
        <item x="61"/>
        <item x="39"/>
        <item x="153"/>
        <item x="225"/>
        <item x="1"/>
        <item x="210"/>
        <item x="45"/>
        <item x="138"/>
        <item x="40"/>
        <item x="106"/>
        <item x="83"/>
        <item x="53"/>
        <item x="170"/>
        <item x="145"/>
        <item x="220"/>
        <item x="51"/>
        <item x="77"/>
        <item x="231"/>
        <item x="131"/>
        <item x="26"/>
        <item x="123"/>
        <item x="146"/>
        <item x="199"/>
        <item x="160"/>
        <item x="159"/>
        <item x="183"/>
        <item x="205"/>
        <item x="139"/>
        <item x="109"/>
        <item x="63"/>
        <item x="229"/>
        <item x="47"/>
        <item x="27"/>
        <item x="85"/>
        <item x="114"/>
        <item x="185"/>
        <item x="0"/>
        <item x="70"/>
        <item x="32"/>
        <item x="194"/>
        <item x="23"/>
        <item x="126"/>
        <item x="168"/>
        <item x="136"/>
        <item x="149"/>
        <item x="34"/>
        <item x="73"/>
        <item x="112"/>
        <item x="190"/>
        <item x="169"/>
        <item x="206"/>
        <item x="37"/>
        <item x="142"/>
        <item x="7"/>
        <item x="76"/>
        <item x="11"/>
        <item x="187"/>
        <item x="195"/>
        <item x="188"/>
        <item x="152"/>
        <item x="232"/>
        <item x="121"/>
        <item t="default"/>
      </items>
    </pivotField>
    <pivotField showAll="0"/>
    <pivotField showAll="0"/>
    <pivotField dataField="1" showAll="0">
      <items count="291">
        <item x="201"/>
        <item x="33"/>
        <item x="118"/>
        <item x="61"/>
        <item x="219"/>
        <item x="190"/>
        <item x="71"/>
        <item x="90"/>
        <item x="58"/>
        <item x="134"/>
        <item x="88"/>
        <item x="267"/>
        <item x="185"/>
        <item x="214"/>
        <item x="37"/>
        <item x="126"/>
        <item x="282"/>
        <item x="202"/>
        <item x="112"/>
        <item x="67"/>
        <item x="108"/>
        <item x="275"/>
        <item x="38"/>
        <item x="158"/>
        <item x="70"/>
        <item x="84"/>
        <item x="199"/>
        <item x="261"/>
        <item x="189"/>
        <item x="7"/>
        <item x="216"/>
        <item x="203"/>
        <item x="283"/>
        <item x="151"/>
        <item x="43"/>
        <item x="249"/>
        <item x="123"/>
        <item x="11"/>
        <item x="63"/>
        <item x="16"/>
        <item x="113"/>
        <item x="210"/>
        <item x="73"/>
        <item x="154"/>
        <item x="127"/>
        <item x="130"/>
        <item x="109"/>
        <item x="250"/>
        <item x="222"/>
        <item x="20"/>
        <item x="221"/>
        <item x="18"/>
        <item x="72"/>
        <item x="207"/>
        <item x="188"/>
        <item x="110"/>
        <item x="54"/>
        <item x="100"/>
        <item x="192"/>
        <item x="242"/>
        <item x="136"/>
        <item x="289"/>
        <item x="155"/>
        <item x="124"/>
        <item x="274"/>
        <item x="1"/>
        <item x="89"/>
        <item x="60"/>
        <item x="10"/>
        <item x="129"/>
        <item x="96"/>
        <item x="244"/>
        <item x="114"/>
        <item x="191"/>
        <item x="194"/>
        <item x="280"/>
        <item x="226"/>
        <item x="80"/>
        <item x="265"/>
        <item x="115"/>
        <item x="232"/>
        <item x="255"/>
        <item x="208"/>
        <item x="277"/>
        <item x="217"/>
        <item x="266"/>
        <item x="174"/>
        <item x="288"/>
        <item x="263"/>
        <item x="284"/>
        <item x="116"/>
        <item x="234"/>
        <item x="35"/>
        <item x="287"/>
        <item x="78"/>
        <item x="246"/>
        <item x="247"/>
        <item x="145"/>
        <item x="92"/>
        <item x="139"/>
        <item x="164"/>
        <item x="193"/>
        <item x="9"/>
        <item x="142"/>
        <item x="172"/>
        <item x="254"/>
        <item x="176"/>
        <item x="29"/>
        <item x="0"/>
        <item x="75"/>
        <item x="55"/>
        <item x="257"/>
        <item x="13"/>
        <item x="74"/>
        <item x="258"/>
        <item x="229"/>
        <item x="76"/>
        <item x="227"/>
        <item x="149"/>
        <item x="211"/>
        <item x="101"/>
        <item x="206"/>
        <item x="86"/>
        <item x="272"/>
        <item x="182"/>
        <item x="23"/>
        <item x="51"/>
        <item x="141"/>
        <item x="205"/>
        <item x="168"/>
        <item x="56"/>
        <item x="264"/>
        <item x="259"/>
        <item x="25"/>
        <item x="177"/>
        <item x="4"/>
        <item x="224"/>
        <item x="135"/>
        <item x="161"/>
        <item x="31"/>
        <item x="212"/>
        <item x="186"/>
        <item x="22"/>
        <item x="26"/>
        <item x="52"/>
        <item x="198"/>
        <item x="131"/>
        <item x="102"/>
        <item x="93"/>
        <item x="286"/>
        <item x="119"/>
        <item x="45"/>
        <item x="121"/>
        <item x="146"/>
        <item x="83"/>
        <item x="252"/>
        <item x="237"/>
        <item x="97"/>
        <item x="262"/>
        <item x="99"/>
        <item x="281"/>
        <item x="200"/>
        <item x="47"/>
        <item x="156"/>
        <item x="2"/>
        <item x="147"/>
        <item x="57"/>
        <item x="98"/>
        <item x="3"/>
        <item x="268"/>
        <item x="175"/>
        <item x="122"/>
        <item x="125"/>
        <item x="106"/>
        <item x="66"/>
        <item x="120"/>
        <item x="238"/>
        <item x="34"/>
        <item x="87"/>
        <item x="251"/>
        <item x="276"/>
        <item x="46"/>
        <item x="285"/>
        <item x="248"/>
        <item x="157"/>
        <item x="28"/>
        <item x="59"/>
        <item x="41"/>
        <item x="169"/>
        <item x="14"/>
        <item x="269"/>
        <item x="240"/>
        <item x="137"/>
        <item x="27"/>
        <item x="150"/>
        <item x="213"/>
        <item x="39"/>
        <item x="187"/>
        <item x="132"/>
        <item x="19"/>
        <item x="162"/>
        <item x="196"/>
        <item x="148"/>
        <item x="44"/>
        <item x="171"/>
        <item x="236"/>
        <item x="225"/>
        <item x="94"/>
        <item x="5"/>
        <item x="144"/>
        <item x="117"/>
        <item x="173"/>
        <item x="166"/>
        <item x="12"/>
        <item x="180"/>
        <item x="197"/>
        <item x="40"/>
        <item x="128"/>
        <item x="24"/>
        <item x="165"/>
        <item x="30"/>
        <item x="15"/>
        <item x="104"/>
        <item x="36"/>
        <item x="50"/>
        <item x="111"/>
        <item x="273"/>
        <item x="179"/>
        <item x="195"/>
        <item x="69"/>
        <item x="183"/>
        <item x="79"/>
        <item x="82"/>
        <item x="48"/>
        <item x="17"/>
        <item x="138"/>
        <item x="140"/>
        <item x="160"/>
        <item x="209"/>
        <item x="218"/>
        <item x="223"/>
        <item x="233"/>
        <item x="163"/>
        <item x="256"/>
        <item x="235"/>
        <item x="159"/>
        <item x="49"/>
        <item x="184"/>
        <item x="152"/>
        <item x="8"/>
        <item x="270"/>
        <item x="62"/>
        <item x="228"/>
        <item x="65"/>
        <item x="105"/>
        <item x="167"/>
        <item x="153"/>
        <item x="178"/>
        <item x="103"/>
        <item x="260"/>
        <item x="91"/>
        <item x="220"/>
        <item x="215"/>
        <item x="6"/>
        <item x="243"/>
        <item x="239"/>
        <item x="143"/>
        <item x="231"/>
        <item x="77"/>
        <item x="241"/>
        <item x="85"/>
        <item x="68"/>
        <item x="170"/>
        <item x="64"/>
        <item x="81"/>
        <item x="53"/>
        <item x="278"/>
        <item x="42"/>
        <item x="21"/>
        <item x="204"/>
        <item x="279"/>
        <item x="32"/>
        <item x="271"/>
        <item x="107"/>
        <item x="181"/>
        <item x="253"/>
        <item x="133"/>
        <item x="95"/>
        <item x="230"/>
        <item x="245"/>
        <item t="default"/>
      </items>
    </pivotField>
    <pivotField dataField="1" showAll="0"/>
    <pivotField dataField="1" showAll="0"/>
    <pivotField dataField="1"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s>
  <rowFields count="1">
    <field x="1"/>
  </rowFields>
  <rowItems count="4">
    <i>
      <x v="1"/>
    </i>
    <i>
      <x/>
    </i>
    <i>
      <x v="2"/>
    </i>
    <i t="grand">
      <x/>
    </i>
  </rowItems>
  <colFields count="1">
    <field x="-2"/>
  </colFields>
  <colItems count="5">
    <i>
      <x/>
    </i>
    <i i="1">
      <x v="1"/>
    </i>
    <i i="2">
      <x v="2"/>
    </i>
    <i i="3">
      <x v="3"/>
    </i>
    <i i="4">
      <x v="4"/>
    </i>
  </colItems>
  <dataFields count="5">
    <dataField name="Sum of Likes" fld="5" baseField="0" baseItem="0"/>
    <dataField name="Sum of Impressions" fld="8" baseField="0" baseItem="0"/>
    <dataField name="Sum of Comments" fld="7" baseField="0" baseItem="0"/>
    <dataField name="Sum of Shares" fld="6" baseField="0" baseItem="0"/>
    <dataField name="Sum of Plateform Engagement rate" fld="14" baseField="0" baseItem="0" numFmtId="10"/>
  </dataFields>
  <formats count="12">
    <format dxfId="64">
      <pivotArea type="all" dataOnly="0" outline="0" fieldPosition="0"/>
    </format>
    <format dxfId="63">
      <pivotArea outline="0" collapsedLevelsAreSubtotals="1" fieldPosition="0"/>
    </format>
    <format dxfId="62">
      <pivotArea field="1" type="button" dataOnly="0" labelOnly="1" outline="0" axis="axisRow" fieldPosition="0"/>
    </format>
    <format dxfId="61">
      <pivotArea dataOnly="0" labelOnly="1" fieldPosition="0">
        <references count="1">
          <reference field="1" count="0"/>
        </references>
      </pivotArea>
    </format>
    <format dxfId="60">
      <pivotArea dataOnly="0" labelOnly="1" grandRow="1" outline="0" fieldPosition="0"/>
    </format>
    <format dxfId="59">
      <pivotArea dataOnly="0" labelOnly="1" outline="0" fieldPosition="0">
        <references count="1">
          <reference field="4294967294" count="5">
            <x v="0"/>
            <x v="1"/>
            <x v="2"/>
            <x v="3"/>
            <x v="4"/>
          </reference>
        </references>
      </pivotArea>
    </format>
    <format dxfId="58">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grandRow="1" outline="0" fieldPosition="0"/>
    </format>
    <format dxfId="53">
      <pivotArea dataOnly="0" labelOnly="1" outline="0" fieldPosition="0">
        <references count="1">
          <reference field="4294967294" count="5">
            <x v="0"/>
            <x v="1"/>
            <x v="2"/>
            <x v="3"/>
            <x v="4"/>
          </reference>
        </references>
      </pivotArea>
    </format>
  </formats>
  <conditionalFormats count="2">
    <conditionalFormat priority="1">
      <pivotAreas count="1">
        <pivotArea fieldPosition="0">
          <references count="1">
            <reference field="1" count="1">
              <x v="1"/>
            </reference>
          </references>
        </pivotArea>
      </pivotAreas>
    </conditionalFormat>
    <conditionalFormat priority="2">
      <pivotAreas count="1">
        <pivotArea type="data" collapsedLevelsAreSubtotals="1" fieldPosition="0">
          <references count="2">
            <reference field="4294967294" count="1" selected="0">
              <x v="4"/>
            </reference>
            <reference field="1"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6B2494-80FA-41F4-B78F-80958FD24DF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2:M16" firstHeaderRow="1" firstDataRow="1" firstDataCol="1"/>
  <pivotFields count="9">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numFmtId="10" showAll="0"/>
  </pivotFields>
  <rowFields count="1">
    <field x="1"/>
  </rowFields>
  <rowItems count="4">
    <i>
      <x v="1"/>
    </i>
    <i>
      <x/>
    </i>
    <i>
      <x v="2"/>
    </i>
    <i t="grand">
      <x/>
    </i>
  </rowItems>
  <colItems count="1">
    <i/>
  </colItems>
  <dataFields count="1">
    <dataField name="Average of Growth_Rate" fld="8" subtotal="average" baseField="1" baseItem="0" numFmtId="10"/>
  </dataFields>
  <formats count="10">
    <format dxfId="74">
      <pivotArea collapsedLevelsAreSubtotals="1" fieldPosition="0">
        <references count="1">
          <reference field="1" count="0"/>
        </references>
      </pivotArea>
    </format>
    <format dxfId="73">
      <pivotArea field="1" type="button" dataOnly="0" labelOnly="1" outline="0" axis="axisRow" fieldPosition="0"/>
    </format>
    <format dxfId="72">
      <pivotArea dataOnly="0" labelOnly="1" fieldPosition="0">
        <references count="1">
          <reference field="1" count="0"/>
        </references>
      </pivotArea>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1" type="button" dataOnly="0" labelOnly="1" outline="0" axis="axisRow" fieldPosition="0"/>
    </format>
    <format dxfId="67">
      <pivotArea dataOnly="0" labelOnly="1" fieldPosition="0">
        <references count="1">
          <reference field="1" count="0"/>
        </references>
      </pivotArea>
    </format>
    <format dxfId="66">
      <pivotArea dataOnly="0" labelOnly="1" grandRow="1" outline="0" fieldPosition="0"/>
    </format>
    <format dxfId="6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5795A4-1D3C-4F7D-A764-CAB4F156AB2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9:Q43" firstHeaderRow="1" firstDataRow="1" firstDataCol="1"/>
  <pivotFields count="1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numFmtId="10" showAll="0"/>
    <pivotField numFmtId="44" showAll="0"/>
  </pivotFields>
  <rowFields count="1">
    <field x="1"/>
  </rowFields>
  <rowItems count="4">
    <i>
      <x/>
    </i>
    <i>
      <x v="2"/>
    </i>
    <i>
      <x v="1"/>
    </i>
    <i t="grand">
      <x/>
    </i>
  </rowItems>
  <colItems count="1">
    <i/>
  </colItems>
  <dataFields count="1">
    <dataField name="Sum of Ad_Spend" fld="6" baseField="0" baseItem="0" numFmtId="166"/>
  </dataFields>
  <formats count="1">
    <format dxfId="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AE72DA-E44D-4212-8B30-5DEDBBF7DD3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7:C42" firstHeaderRow="1" firstDataRow="1" firstDataCol="1"/>
  <pivotFields count="16">
    <pivotField showAll="0"/>
    <pivotField showAll="0"/>
    <pivotField numFmtId="22" showAll="0"/>
    <pivotField showAll="0"/>
    <pivotField showAll="0"/>
    <pivotField showAll="0"/>
    <pivotField showAll="0"/>
    <pivotField showAll="0"/>
    <pivotField showAll="0"/>
    <pivotField showAll="0"/>
    <pivotField showAll="0"/>
    <pivotField axis="axisRow" dataField="1" showAll="0">
      <items count="6">
        <item x="3"/>
        <item x="1"/>
        <item x="2"/>
        <item x="0"/>
        <item m="1" x="4"/>
        <item t="default"/>
      </items>
    </pivotField>
    <pivotField showAll="0"/>
    <pivotField numFmtId="10" showAll="0"/>
    <pivotField showAll="0">
      <items count="3">
        <item x="0"/>
        <item x="1"/>
        <item t="default"/>
      </items>
    </pivotField>
    <pivotField dragToRow="0" dragToCol="0" dragToPage="0" showAll="0" defaultSubtotal="0"/>
  </pivotFields>
  <rowFields count="1">
    <field x="11"/>
  </rowFields>
  <rowItems count="5">
    <i>
      <x/>
    </i>
    <i>
      <x v="1"/>
    </i>
    <i>
      <x v="2"/>
    </i>
    <i>
      <x v="3"/>
    </i>
    <i t="grand">
      <x/>
    </i>
  </rowItems>
  <colItems count="1">
    <i/>
  </colItems>
  <dataFields count="1">
    <dataField name="Count of Hashtags Used" fld="11" subtotal="count" baseField="0" baseItem="0"/>
  </dataFields>
  <formats count="6">
    <format dxfId="21">
      <pivotArea type="all" dataOnly="0" outline="0" fieldPosition="0"/>
    </format>
    <format dxfId="20">
      <pivotArea outline="0" collapsedLevelsAreSubtotals="1" fieldPosition="0"/>
    </format>
    <format dxfId="19">
      <pivotArea field="11" type="button" dataOnly="0" labelOnly="1" outline="0" axis="axisRow" fieldPosition="0"/>
    </format>
    <format dxfId="18">
      <pivotArea dataOnly="0" labelOnly="1" fieldPosition="0">
        <references count="1">
          <reference field="11" count="0"/>
        </references>
      </pivotArea>
    </format>
    <format dxfId="17">
      <pivotArea dataOnly="0" labelOnly="1" grandRow="1" outline="0" fieldPosition="0"/>
    </format>
    <format dxfId="16">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6BED6F-90F3-4E7D-A8E2-98E9BDB4FB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6" firstHeaderRow="0" firstDataRow="1" firstDataCol="1"/>
  <pivotFields count="17">
    <pivotField dataField="1" showAll="0"/>
    <pivotField axis="axisRow" showAll="0">
      <items count="4">
        <item x="0"/>
        <item x="1"/>
        <item x="2"/>
        <item t="default"/>
      </items>
    </pivotField>
    <pivotField numFmtId="165" showAll="0">
      <items count="236">
        <item x="58"/>
        <item x="118"/>
        <item x="222"/>
        <item x="54"/>
        <item x="122"/>
        <item x="68"/>
        <item x="233"/>
        <item x="75"/>
        <item x="174"/>
        <item x="198"/>
        <item x="137"/>
        <item x="72"/>
        <item x="91"/>
        <item x="125"/>
        <item x="119"/>
        <item x="197"/>
        <item x="201"/>
        <item x="16"/>
        <item x="234"/>
        <item x="148"/>
        <item x="192"/>
        <item x="43"/>
        <item x="97"/>
        <item x="110"/>
        <item x="219"/>
        <item x="223"/>
        <item x="120"/>
        <item x="115"/>
        <item x="87"/>
        <item x="25"/>
        <item x="9"/>
        <item x="44"/>
        <item x="92"/>
        <item x="90"/>
        <item x="217"/>
        <item x="178"/>
        <item x="164"/>
        <item x="89"/>
        <item x="86"/>
        <item x="215"/>
        <item x="65"/>
        <item x="64"/>
        <item x="154"/>
        <item x="129"/>
        <item x="3"/>
        <item x="147"/>
        <item x="186"/>
        <item x="57"/>
        <item x="157"/>
        <item x="38"/>
        <item x="82"/>
        <item x="143"/>
        <item x="98"/>
        <item x="33"/>
        <item x="13"/>
        <item x="29"/>
        <item x="52"/>
        <item x="6"/>
        <item x="173"/>
        <item x="116"/>
        <item x="48"/>
        <item x="10"/>
        <item x="111"/>
        <item x="71"/>
        <item x="62"/>
        <item x="140"/>
        <item x="158"/>
        <item x="211"/>
        <item x="20"/>
        <item x="15"/>
        <item x="4"/>
        <item x="208"/>
        <item x="17"/>
        <item x="167"/>
        <item x="135"/>
        <item x="196"/>
        <item x="218"/>
        <item x="226"/>
        <item x="104"/>
        <item x="228"/>
        <item x="161"/>
        <item x="18"/>
        <item x="60"/>
        <item x="207"/>
        <item x="177"/>
        <item x="166"/>
        <item x="42"/>
        <item x="108"/>
        <item x="55"/>
        <item x="184"/>
        <item x="105"/>
        <item x="94"/>
        <item x="84"/>
        <item x="165"/>
        <item x="80"/>
        <item x="209"/>
        <item x="151"/>
        <item x="56"/>
        <item x="50"/>
        <item x="227"/>
        <item x="81"/>
        <item x="182"/>
        <item x="78"/>
        <item x="132"/>
        <item x="46"/>
        <item x="156"/>
        <item x="144"/>
        <item x="49"/>
        <item x="41"/>
        <item x="102"/>
        <item x="107"/>
        <item x="35"/>
        <item x="179"/>
        <item x="204"/>
        <item x="172"/>
        <item x="99"/>
        <item x="141"/>
        <item x="124"/>
        <item x="133"/>
        <item x="127"/>
        <item x="180"/>
        <item x="12"/>
        <item x="30"/>
        <item x="22"/>
        <item x="69"/>
        <item x="95"/>
        <item x="191"/>
        <item x="93"/>
        <item x="21"/>
        <item x="200"/>
        <item x="224"/>
        <item x="96"/>
        <item x="59"/>
        <item x="117"/>
        <item x="19"/>
        <item x="216"/>
        <item x="162"/>
        <item x="88"/>
        <item x="150"/>
        <item x="213"/>
        <item x="128"/>
        <item x="103"/>
        <item x="155"/>
        <item x="36"/>
        <item x="130"/>
        <item x="24"/>
        <item x="214"/>
        <item x="221"/>
        <item x="2"/>
        <item x="8"/>
        <item x="176"/>
        <item x="193"/>
        <item x="203"/>
        <item x="163"/>
        <item x="66"/>
        <item x="5"/>
        <item x="202"/>
        <item x="134"/>
        <item x="230"/>
        <item x="14"/>
        <item x="181"/>
        <item x="28"/>
        <item x="79"/>
        <item x="67"/>
        <item x="31"/>
        <item x="175"/>
        <item x="101"/>
        <item x="189"/>
        <item x="171"/>
        <item x="113"/>
        <item x="212"/>
        <item x="100"/>
        <item x="74"/>
        <item x="61"/>
        <item x="39"/>
        <item x="153"/>
        <item x="225"/>
        <item x="1"/>
        <item x="210"/>
        <item x="45"/>
        <item x="138"/>
        <item x="40"/>
        <item x="106"/>
        <item x="83"/>
        <item x="53"/>
        <item x="170"/>
        <item x="145"/>
        <item x="220"/>
        <item x="51"/>
        <item x="77"/>
        <item x="231"/>
        <item x="131"/>
        <item x="26"/>
        <item x="123"/>
        <item x="146"/>
        <item x="199"/>
        <item x="160"/>
        <item x="159"/>
        <item x="183"/>
        <item x="205"/>
        <item x="139"/>
        <item x="109"/>
        <item x="63"/>
        <item x="229"/>
        <item x="47"/>
        <item x="27"/>
        <item x="85"/>
        <item x="114"/>
        <item x="185"/>
        <item x="0"/>
        <item x="70"/>
        <item x="32"/>
        <item x="194"/>
        <item x="23"/>
        <item x="126"/>
        <item x="168"/>
        <item x="136"/>
        <item x="149"/>
        <item x="34"/>
        <item x="73"/>
        <item x="112"/>
        <item x="190"/>
        <item x="169"/>
        <item x="206"/>
        <item x="37"/>
        <item x="142"/>
        <item x="7"/>
        <item x="76"/>
        <item x="11"/>
        <item x="187"/>
        <item x="195"/>
        <item x="188"/>
        <item x="152"/>
        <item x="232"/>
        <item x="121"/>
        <item t="default"/>
      </items>
    </pivotField>
    <pivotField axis="axisRow"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ataField="1" dragToRow="0" dragToCol="0" dragToPage="0" showAll="0" defaultSubtota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s>
  <rowFields count="2">
    <field x="1"/>
    <field x="3"/>
  </rowFields>
  <rowItems count="10">
    <i>
      <x/>
    </i>
    <i r="1">
      <x v="1"/>
    </i>
    <i r="1">
      <x v="2"/>
    </i>
    <i>
      <x v="1"/>
    </i>
    <i r="1">
      <x v="1"/>
    </i>
    <i r="1">
      <x v="2"/>
    </i>
    <i>
      <x v="2"/>
    </i>
    <i r="1">
      <x/>
    </i>
    <i r="1">
      <x v="2"/>
    </i>
    <i t="grand">
      <x/>
    </i>
  </rowItems>
  <colFields count="1">
    <field x="-2"/>
  </colFields>
  <colItems count="3">
    <i>
      <x/>
    </i>
    <i i="1">
      <x v="1"/>
    </i>
    <i i="2">
      <x v="2"/>
    </i>
  </colItems>
  <dataFields count="3">
    <dataField name="Average of Total Engagement" fld="15" subtotal="average" baseField="1" baseItem="0"/>
    <dataField name="Count of Post ID" fld="0" subtotal="count" baseField="0" baseItem="0"/>
    <dataField name="Average of Platform Engagement Rate" fld="13" subtotal="average" baseField="1" baseItem="0" numFmtId="10"/>
  </dataFields>
  <formats count="10">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fieldPosition="0">
        <references count="2">
          <reference field="1" count="1" selected="0">
            <x v="0"/>
          </reference>
          <reference field="3" count="2">
            <x v="1"/>
            <x v="2"/>
          </reference>
        </references>
      </pivotArea>
    </format>
    <format dxfId="25">
      <pivotArea dataOnly="0" labelOnly="1" fieldPosition="0">
        <references count="2">
          <reference field="1" count="1" selected="0">
            <x v="1"/>
          </reference>
          <reference field="3" count="2">
            <x v="1"/>
            <x v="2"/>
          </reference>
        </references>
      </pivotArea>
    </format>
    <format dxfId="24">
      <pivotArea dataOnly="0" labelOnly="1" fieldPosition="0">
        <references count="2">
          <reference field="1" count="1" selected="0">
            <x v="2"/>
          </reference>
          <reference field="3" count="2">
            <x v="0"/>
            <x v="2"/>
          </reference>
        </references>
      </pivotArea>
    </format>
    <format dxfId="23">
      <pivotArea dataOnly="0" labelOnly="1" outline="0" fieldPosition="0">
        <references count="1">
          <reference field="4294967294" count="3">
            <x v="0"/>
            <x v="1"/>
            <x v="2"/>
          </reference>
        </references>
      </pivotArea>
    </format>
    <format dxfId="2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8A14FC-0763-40E1-BFCB-6E8D8A37AC8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R26" firstHeaderRow="1" firstDataRow="3" firstDataCol="1"/>
  <pivotFields count="17">
    <pivotField showAll="0"/>
    <pivotField axis="axisCol" showAll="0">
      <items count="4">
        <item x="0"/>
        <item x="1"/>
        <item x="2"/>
        <item t="default"/>
      </items>
    </pivotField>
    <pivotField numFmtId="165" showAll="0">
      <items count="236">
        <item x="58"/>
        <item x="118"/>
        <item x="222"/>
        <item x="54"/>
        <item x="122"/>
        <item x="68"/>
        <item x="233"/>
        <item x="75"/>
        <item x="174"/>
        <item x="198"/>
        <item x="137"/>
        <item x="72"/>
        <item x="91"/>
        <item x="125"/>
        <item x="119"/>
        <item x="197"/>
        <item x="201"/>
        <item x="16"/>
        <item x="234"/>
        <item x="148"/>
        <item x="192"/>
        <item x="43"/>
        <item x="97"/>
        <item x="110"/>
        <item x="219"/>
        <item x="223"/>
        <item x="120"/>
        <item x="115"/>
        <item x="87"/>
        <item x="25"/>
        <item x="9"/>
        <item x="44"/>
        <item x="92"/>
        <item x="90"/>
        <item x="217"/>
        <item x="178"/>
        <item x="164"/>
        <item x="89"/>
        <item x="86"/>
        <item x="215"/>
        <item x="65"/>
        <item x="64"/>
        <item x="154"/>
        <item x="129"/>
        <item x="3"/>
        <item x="147"/>
        <item x="186"/>
        <item x="57"/>
        <item x="157"/>
        <item x="38"/>
        <item x="82"/>
        <item x="143"/>
        <item x="98"/>
        <item x="33"/>
        <item x="13"/>
        <item x="29"/>
        <item x="52"/>
        <item x="6"/>
        <item x="173"/>
        <item x="116"/>
        <item x="48"/>
        <item x="10"/>
        <item x="111"/>
        <item x="71"/>
        <item x="62"/>
        <item x="140"/>
        <item x="158"/>
        <item x="211"/>
        <item x="20"/>
        <item x="15"/>
        <item x="4"/>
        <item x="208"/>
        <item x="17"/>
        <item x="167"/>
        <item x="135"/>
        <item x="196"/>
        <item x="218"/>
        <item x="226"/>
        <item x="104"/>
        <item x="228"/>
        <item x="161"/>
        <item x="18"/>
        <item x="60"/>
        <item x="207"/>
        <item x="177"/>
        <item x="166"/>
        <item x="42"/>
        <item x="108"/>
        <item x="55"/>
        <item x="184"/>
        <item x="105"/>
        <item x="94"/>
        <item x="84"/>
        <item x="165"/>
        <item x="80"/>
        <item x="209"/>
        <item x="151"/>
        <item x="56"/>
        <item x="50"/>
        <item x="227"/>
        <item x="81"/>
        <item x="182"/>
        <item x="78"/>
        <item x="132"/>
        <item x="46"/>
        <item x="156"/>
        <item x="144"/>
        <item x="49"/>
        <item x="41"/>
        <item x="102"/>
        <item x="107"/>
        <item x="35"/>
        <item x="179"/>
        <item x="204"/>
        <item x="172"/>
        <item x="99"/>
        <item x="141"/>
        <item x="124"/>
        <item x="133"/>
        <item x="127"/>
        <item x="180"/>
        <item x="12"/>
        <item x="30"/>
        <item x="22"/>
        <item x="69"/>
        <item x="95"/>
        <item x="191"/>
        <item x="93"/>
        <item x="21"/>
        <item x="200"/>
        <item x="224"/>
        <item x="96"/>
        <item x="59"/>
        <item x="117"/>
        <item x="19"/>
        <item x="216"/>
        <item x="162"/>
        <item x="88"/>
        <item x="150"/>
        <item x="213"/>
        <item x="128"/>
        <item x="103"/>
        <item x="155"/>
        <item x="36"/>
        <item x="130"/>
        <item x="24"/>
        <item x="214"/>
        <item x="221"/>
        <item x="2"/>
        <item x="8"/>
        <item x="176"/>
        <item x="193"/>
        <item x="203"/>
        <item x="163"/>
        <item x="66"/>
        <item x="5"/>
        <item x="202"/>
        <item x="134"/>
        <item x="230"/>
        <item x="14"/>
        <item x="181"/>
        <item x="28"/>
        <item x="79"/>
        <item x="67"/>
        <item x="31"/>
        <item x="175"/>
        <item x="101"/>
        <item x="189"/>
        <item x="171"/>
        <item x="113"/>
        <item x="212"/>
        <item x="100"/>
        <item x="74"/>
        <item x="61"/>
        <item x="39"/>
        <item x="153"/>
        <item x="225"/>
        <item x="1"/>
        <item x="210"/>
        <item x="45"/>
        <item x="138"/>
        <item x="40"/>
        <item x="106"/>
        <item x="83"/>
        <item x="53"/>
        <item x="170"/>
        <item x="145"/>
        <item x="220"/>
        <item x="51"/>
        <item x="77"/>
        <item x="231"/>
        <item x="131"/>
        <item x="26"/>
        <item x="123"/>
        <item x="146"/>
        <item x="199"/>
        <item x="160"/>
        <item x="159"/>
        <item x="183"/>
        <item x="205"/>
        <item x="139"/>
        <item x="109"/>
        <item x="63"/>
        <item x="229"/>
        <item x="47"/>
        <item x="27"/>
        <item x="85"/>
        <item x="114"/>
        <item x="185"/>
        <item x="0"/>
        <item x="70"/>
        <item x="32"/>
        <item x="194"/>
        <item x="23"/>
        <item x="126"/>
        <item x="168"/>
        <item x="136"/>
        <item x="149"/>
        <item x="34"/>
        <item x="73"/>
        <item x="112"/>
        <item x="190"/>
        <item x="169"/>
        <item x="206"/>
        <item x="37"/>
        <item x="142"/>
        <item x="7"/>
        <item x="76"/>
        <item x="11"/>
        <item x="187"/>
        <item x="195"/>
        <item x="188"/>
        <item x="152"/>
        <item x="232"/>
        <item x="121"/>
        <item t="default"/>
      </items>
    </pivotField>
    <pivotField axis="axisRow" showAll="0" sortType="descending">
      <items count="4">
        <item x="2"/>
        <item x="1"/>
        <item x="0"/>
        <item t="default"/>
      </items>
      <autoSortScope>
        <pivotArea dataOnly="0" outline="0" fieldPosition="0">
          <references count="1">
            <reference field="4294967294" count="1" selected="0">
              <x v="2"/>
            </reference>
          </references>
        </pivotArea>
      </autoSortScope>
    </pivotField>
    <pivotField showAll="0"/>
    <pivotField dataField="1" showAll="0"/>
    <pivotField dataField="1"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s>
  <rowFields count="1">
    <field x="3"/>
  </rowFields>
  <rowItems count="4">
    <i>
      <x v="2"/>
    </i>
    <i>
      <x v="1"/>
    </i>
    <i>
      <x/>
    </i>
    <i t="grand">
      <x/>
    </i>
  </rowItems>
  <colFields count="2">
    <field x="1"/>
    <field x="-2"/>
  </colFields>
  <colItems count="12">
    <i>
      <x/>
      <x/>
    </i>
    <i r="1" i="1">
      <x v="1"/>
    </i>
    <i r="1" i="2">
      <x v="2"/>
    </i>
    <i>
      <x v="1"/>
      <x/>
    </i>
    <i r="1" i="1">
      <x v="1"/>
    </i>
    <i r="1" i="2">
      <x v="2"/>
    </i>
    <i>
      <x v="2"/>
      <x/>
    </i>
    <i r="1" i="1">
      <x v="1"/>
    </i>
    <i r="1" i="2">
      <x v="2"/>
    </i>
    <i t="grand">
      <x/>
    </i>
    <i t="grand" i="1">
      <x/>
    </i>
    <i t="grand" i="2">
      <x/>
    </i>
  </colItems>
  <dataFields count="3">
    <dataField name="Sum of Likes" fld="5" baseField="0" baseItem="0"/>
    <dataField name="Sum of Comments" fld="7" baseField="0" baseItem="0"/>
    <dataField name="Sum of Shares" fld="6" baseField="0" baseItem="0"/>
  </dataFields>
  <formats count="1">
    <format dxfId="3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88FDA88-09A3-42E7-BF0C-A420E7761ED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I10" firstHeaderRow="0" firstDataRow="1" firstDataCol="1"/>
  <pivotFields count="17">
    <pivotField showAll="0"/>
    <pivotField showAll="0"/>
    <pivotField numFmtId="165" showAll="0">
      <items count="236">
        <item x="58"/>
        <item x="118"/>
        <item x="222"/>
        <item x="54"/>
        <item x="122"/>
        <item x="68"/>
        <item x="233"/>
        <item x="75"/>
        <item x="174"/>
        <item x="198"/>
        <item x="137"/>
        <item x="72"/>
        <item x="91"/>
        <item x="125"/>
        <item x="119"/>
        <item x="197"/>
        <item x="201"/>
        <item x="16"/>
        <item x="234"/>
        <item x="148"/>
        <item x="192"/>
        <item x="43"/>
        <item x="97"/>
        <item x="110"/>
        <item x="219"/>
        <item x="223"/>
        <item x="120"/>
        <item x="115"/>
        <item x="87"/>
        <item x="25"/>
        <item x="9"/>
        <item x="44"/>
        <item x="92"/>
        <item x="90"/>
        <item x="217"/>
        <item x="178"/>
        <item x="164"/>
        <item x="89"/>
        <item x="86"/>
        <item x="215"/>
        <item x="65"/>
        <item x="64"/>
        <item x="154"/>
        <item x="129"/>
        <item x="3"/>
        <item x="147"/>
        <item x="186"/>
        <item x="57"/>
        <item x="157"/>
        <item x="38"/>
        <item x="82"/>
        <item x="143"/>
        <item x="98"/>
        <item x="33"/>
        <item x="13"/>
        <item x="29"/>
        <item x="52"/>
        <item x="6"/>
        <item x="173"/>
        <item x="116"/>
        <item x="48"/>
        <item x="10"/>
        <item x="111"/>
        <item x="71"/>
        <item x="62"/>
        <item x="140"/>
        <item x="158"/>
        <item x="211"/>
        <item x="20"/>
        <item x="15"/>
        <item x="4"/>
        <item x="208"/>
        <item x="17"/>
        <item x="167"/>
        <item x="135"/>
        <item x="196"/>
        <item x="218"/>
        <item x="226"/>
        <item x="104"/>
        <item x="228"/>
        <item x="161"/>
        <item x="18"/>
        <item x="60"/>
        <item x="207"/>
        <item x="177"/>
        <item x="166"/>
        <item x="42"/>
        <item x="108"/>
        <item x="55"/>
        <item x="184"/>
        <item x="105"/>
        <item x="94"/>
        <item x="84"/>
        <item x="165"/>
        <item x="80"/>
        <item x="209"/>
        <item x="151"/>
        <item x="56"/>
        <item x="50"/>
        <item x="227"/>
        <item x="81"/>
        <item x="182"/>
        <item x="78"/>
        <item x="132"/>
        <item x="46"/>
        <item x="156"/>
        <item x="144"/>
        <item x="49"/>
        <item x="41"/>
        <item x="102"/>
        <item x="107"/>
        <item x="35"/>
        <item x="179"/>
        <item x="204"/>
        <item x="172"/>
        <item x="99"/>
        <item x="141"/>
        <item x="124"/>
        <item x="133"/>
        <item x="127"/>
        <item x="180"/>
        <item x="12"/>
        <item x="30"/>
        <item x="22"/>
        <item x="69"/>
        <item x="95"/>
        <item x="191"/>
        <item x="93"/>
        <item x="21"/>
        <item x="200"/>
        <item x="224"/>
        <item x="96"/>
        <item x="59"/>
        <item x="117"/>
        <item x="19"/>
        <item x="216"/>
        <item x="162"/>
        <item x="88"/>
        <item x="150"/>
        <item x="213"/>
        <item x="128"/>
        <item x="103"/>
        <item x="155"/>
        <item x="36"/>
        <item x="130"/>
        <item x="24"/>
        <item x="214"/>
        <item x="221"/>
        <item x="2"/>
        <item x="8"/>
        <item x="176"/>
        <item x="193"/>
        <item x="203"/>
        <item x="163"/>
        <item x="66"/>
        <item x="5"/>
        <item x="202"/>
        <item x="134"/>
        <item x="230"/>
        <item x="14"/>
        <item x="181"/>
        <item x="28"/>
        <item x="79"/>
        <item x="67"/>
        <item x="31"/>
        <item x="175"/>
        <item x="101"/>
        <item x="189"/>
        <item x="171"/>
        <item x="113"/>
        <item x="212"/>
        <item x="100"/>
        <item x="74"/>
        <item x="61"/>
        <item x="39"/>
        <item x="153"/>
        <item x="225"/>
        <item x="1"/>
        <item x="210"/>
        <item x="45"/>
        <item x="138"/>
        <item x="40"/>
        <item x="106"/>
        <item x="83"/>
        <item x="53"/>
        <item x="170"/>
        <item x="145"/>
        <item x="220"/>
        <item x="51"/>
        <item x="77"/>
        <item x="231"/>
        <item x="131"/>
        <item x="26"/>
        <item x="123"/>
        <item x="146"/>
        <item x="199"/>
        <item x="160"/>
        <item x="159"/>
        <item x="183"/>
        <item x="205"/>
        <item x="139"/>
        <item x="109"/>
        <item x="63"/>
        <item x="229"/>
        <item x="47"/>
        <item x="27"/>
        <item x="85"/>
        <item x="114"/>
        <item x="185"/>
        <item x="0"/>
        <item x="70"/>
        <item x="32"/>
        <item x="194"/>
        <item x="23"/>
        <item x="126"/>
        <item x="168"/>
        <item x="136"/>
        <item x="149"/>
        <item x="34"/>
        <item x="73"/>
        <item x="112"/>
        <item x="190"/>
        <item x="169"/>
        <item x="206"/>
        <item x="37"/>
        <item x="142"/>
        <item x="7"/>
        <item x="76"/>
        <item x="11"/>
        <item x="187"/>
        <item x="195"/>
        <item x="188"/>
        <item x="152"/>
        <item x="232"/>
        <item x="121"/>
        <item t="default"/>
      </items>
    </pivotField>
    <pivotField axis="axisRow" showAll="0">
      <items count="4">
        <item x="2"/>
        <item x="1"/>
        <item x="0"/>
        <item t="default"/>
      </items>
    </pivotField>
    <pivotField showAll="0"/>
    <pivotField dataField="1" showAll="0"/>
    <pivotField dataField="1"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s>
  <rowFields count="1">
    <field x="3"/>
  </rowFields>
  <rowItems count="4">
    <i>
      <x/>
    </i>
    <i>
      <x v="1"/>
    </i>
    <i>
      <x v="2"/>
    </i>
    <i t="grand">
      <x/>
    </i>
  </rowItems>
  <colFields count="1">
    <field x="-2"/>
  </colFields>
  <colItems count="3">
    <i>
      <x/>
    </i>
    <i i="1">
      <x v="1"/>
    </i>
    <i i="2">
      <x v="2"/>
    </i>
  </colItems>
  <dataFields count="3">
    <dataField name="Sum of Likes" fld="5" baseField="0" baseItem="0"/>
    <dataField name="Sum of Comments" fld="7" baseField="0" baseItem="0"/>
    <dataField name="Sum of Shares" fld="6" baseField="0" baseItem="0"/>
  </dataFields>
  <formats count="6">
    <format dxfId="38">
      <pivotArea type="all" dataOnly="0" outline="0" fieldPosition="0"/>
    </format>
    <format dxfId="37">
      <pivotArea outline="0" collapsedLevelsAreSubtotals="1" fieldPosition="0"/>
    </format>
    <format dxfId="36">
      <pivotArea field="3" type="button" dataOnly="0" labelOnly="1" outline="0" axis="axisRow" fieldPosition="0"/>
    </format>
    <format dxfId="35">
      <pivotArea dataOnly="0" labelOnly="1" fieldPosition="0">
        <references count="1">
          <reference field="3" count="0"/>
        </references>
      </pivotArea>
    </format>
    <format dxfId="34">
      <pivotArea dataOnly="0" labelOnly="1" grandRow="1" outline="0" fieldPosition="0"/>
    </format>
    <format dxfId="33">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B8473E4-A5DD-41B7-BA32-D12FB24C62D6}"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1:C36" firstHeaderRow="1" firstDataRow="1" firstDataCol="1"/>
  <pivotFields count="7">
    <pivotField axis="axisRow" showAll="0">
      <items count="5">
        <item x="2"/>
        <item x="3"/>
        <item x="0"/>
        <item x="1"/>
        <item t="default"/>
      </items>
    </pivotField>
    <pivotField showAll="0"/>
    <pivotField showAll="0"/>
    <pivotField showAll="0"/>
    <pivotField dataField="1" showAll="0"/>
    <pivotField showAll="0"/>
    <pivotField showAll="0"/>
  </pivotFields>
  <rowFields count="1">
    <field x="0"/>
  </rowFields>
  <rowItems count="5">
    <i>
      <x/>
    </i>
    <i>
      <x v="1"/>
    </i>
    <i>
      <x v="2"/>
    </i>
    <i>
      <x v="3"/>
    </i>
    <i t="grand">
      <x/>
    </i>
  </rowItems>
  <colItems count="1">
    <i/>
  </colItems>
  <dataFields count="1">
    <dataField name="Sum of Total_Budge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3717E0-352A-43CE-8B80-56DFA9094FA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H12" firstHeaderRow="0" firstDataRow="1" firstDataCol="1"/>
  <pivotFields count="16">
    <pivotField showAll="0"/>
    <pivotField showAll="0"/>
    <pivotField numFmtId="22" showAll="0"/>
    <pivotField showAll="0"/>
    <pivotField showAll="0"/>
    <pivotField dataField="1" showAll="0"/>
    <pivotField showAll="0"/>
    <pivotField showAll="0"/>
    <pivotField dataField="1" showAll="0"/>
    <pivotField showAll="0"/>
    <pivotField dataField="1" showAll="0"/>
    <pivotField showAll="0"/>
    <pivotField axis="axisRow" showAll="0">
      <items count="5">
        <item x="0"/>
        <item x="1"/>
        <item x="2"/>
        <item x="3"/>
        <item t="default"/>
      </items>
    </pivotField>
    <pivotField numFmtId="10" showAll="0"/>
    <pivotField showAll="0">
      <items count="3">
        <item x="0"/>
        <item x="1"/>
        <item t="default"/>
      </items>
    </pivotField>
    <pivotField dragToRow="0" dragToCol="0" dragToPage="0" showAll="0" defaultSubtotal="0"/>
  </pivotFields>
  <rowFields count="1">
    <field x="12"/>
  </rowFields>
  <rowItems count="5">
    <i>
      <x/>
    </i>
    <i>
      <x v="1"/>
    </i>
    <i>
      <x v="2"/>
    </i>
    <i>
      <x v="3"/>
    </i>
    <i t="grand">
      <x/>
    </i>
  </rowItems>
  <colFields count="1">
    <field x="-2"/>
  </colFields>
  <colItems count="6">
    <i>
      <x/>
    </i>
    <i i="1">
      <x v="1"/>
    </i>
    <i i="2">
      <x v="2"/>
    </i>
    <i i="3">
      <x v="3"/>
    </i>
    <i i="4">
      <x v="4"/>
    </i>
    <i i="5">
      <x v="5"/>
    </i>
  </colItems>
  <dataFields count="6">
    <dataField name="Average Impressions" fld="8" subtotal="average" baseField="12" baseItem="0"/>
    <dataField name="Average Likes" fld="5" subtotal="average" baseField="12" baseItem="0"/>
    <dataField name="Average Clicks" fld="10" subtotal="average" baseField="12" baseItem="0"/>
    <dataField name="Total Impressions" fld="8" baseField="0" baseItem="0"/>
    <dataField name="Total Clicks" fld="10" baseField="0" baseItem="0"/>
    <dataField name="Total Likes" fld="5" baseField="0" baseItem="0"/>
  </dataFields>
  <formats count="1">
    <format dxfId="10">
      <pivotArea collapsedLevelsAreSubtotals="1" fieldPosition="0">
        <references count="2">
          <reference field="4294967294" count="3" selected="0">
            <x v="0"/>
            <x v="1"/>
            <x v="2"/>
          </reference>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B555FB6-B070-49A2-B89C-EB5F536F3B3F}"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M7:N9" firstHeaderRow="1" firstDataRow="1" firstDataCol="1"/>
  <pivotFields count="16">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dataField="1" numFmtId="10" showAll="0"/>
    <pivotField axis="axisRow" showAll="0">
      <items count="3">
        <item x="0"/>
        <item x="1"/>
        <item t="default"/>
      </items>
    </pivotField>
    <pivotField dragToRow="0" dragToCol="0" dragToPage="0" showAll="0" defaultSubtotal="0"/>
  </pivotFields>
  <rowFields count="1">
    <field x="14"/>
  </rowFields>
  <rowItems count="2">
    <i>
      <x/>
    </i>
    <i>
      <x v="1"/>
    </i>
  </rowItems>
  <colItems count="1">
    <i/>
  </colItems>
  <dataFields count="1">
    <dataField name="Avg Engagement Rate" fld="13" subtotal="average" baseField="14" baseItem="0" numFmtId="10"/>
  </dataFields>
  <formats count="5">
    <format dxfId="15">
      <pivotArea type="all" dataOnly="0" outline="0" fieldPosition="0"/>
    </format>
    <format dxfId="14">
      <pivotArea outline="0" collapsedLevelsAreSubtotals="1" fieldPosition="0"/>
    </format>
    <format dxfId="13">
      <pivotArea field="14" type="button" dataOnly="0" labelOnly="1" outline="0" axis="axisRow" fieldPosition="0"/>
    </format>
    <format dxfId="12">
      <pivotArea dataOnly="0" labelOnly="1" fieldPosition="0">
        <references count="1">
          <reference field="14" count="0"/>
        </references>
      </pivotArea>
    </format>
    <format dxfId="1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259E1EF-0A10-47C4-862B-E74BB7A422A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4:M39" firstHeaderRow="1" firstDataRow="1" firstDataCol="1"/>
  <pivotFields count="17">
    <pivotField showAll="0"/>
    <pivotField showAll="0"/>
    <pivotField numFmtId="165" showAll="0">
      <items count="236">
        <item x="58"/>
        <item x="118"/>
        <item x="222"/>
        <item x="54"/>
        <item x="122"/>
        <item x="68"/>
        <item x="233"/>
        <item x="75"/>
        <item x="174"/>
        <item x="198"/>
        <item x="137"/>
        <item x="72"/>
        <item x="91"/>
        <item x="125"/>
        <item x="119"/>
        <item x="197"/>
        <item x="201"/>
        <item x="16"/>
        <item x="234"/>
        <item x="148"/>
        <item x="192"/>
        <item x="43"/>
        <item x="97"/>
        <item x="110"/>
        <item x="219"/>
        <item x="223"/>
        <item x="120"/>
        <item x="115"/>
        <item x="87"/>
        <item x="25"/>
        <item x="9"/>
        <item x="44"/>
        <item x="92"/>
        <item x="90"/>
        <item x="217"/>
        <item x="178"/>
        <item x="164"/>
        <item x="89"/>
        <item x="86"/>
        <item x="215"/>
        <item x="65"/>
        <item x="64"/>
        <item x="154"/>
        <item x="129"/>
        <item x="3"/>
        <item x="147"/>
        <item x="186"/>
        <item x="57"/>
        <item x="157"/>
        <item x="38"/>
        <item x="82"/>
        <item x="143"/>
        <item x="98"/>
        <item x="33"/>
        <item x="13"/>
        <item x="29"/>
        <item x="52"/>
        <item x="6"/>
        <item x="173"/>
        <item x="116"/>
        <item x="48"/>
        <item x="10"/>
        <item x="111"/>
        <item x="71"/>
        <item x="62"/>
        <item x="140"/>
        <item x="158"/>
        <item x="211"/>
        <item x="20"/>
        <item x="15"/>
        <item x="4"/>
        <item x="208"/>
        <item x="17"/>
        <item x="167"/>
        <item x="135"/>
        <item x="196"/>
        <item x="218"/>
        <item x="226"/>
        <item x="104"/>
        <item x="228"/>
        <item x="161"/>
        <item x="18"/>
        <item x="60"/>
        <item x="207"/>
        <item x="177"/>
        <item x="166"/>
        <item x="42"/>
        <item x="108"/>
        <item x="55"/>
        <item x="184"/>
        <item x="105"/>
        <item x="94"/>
        <item x="84"/>
        <item x="165"/>
        <item x="80"/>
        <item x="209"/>
        <item x="151"/>
        <item x="56"/>
        <item x="50"/>
        <item x="227"/>
        <item x="81"/>
        <item x="182"/>
        <item x="78"/>
        <item x="132"/>
        <item x="46"/>
        <item x="156"/>
        <item x="144"/>
        <item x="49"/>
        <item x="41"/>
        <item x="102"/>
        <item x="107"/>
        <item x="35"/>
        <item x="179"/>
        <item x="204"/>
        <item x="172"/>
        <item x="99"/>
        <item x="141"/>
        <item x="124"/>
        <item x="133"/>
        <item x="127"/>
        <item x="180"/>
        <item x="12"/>
        <item x="30"/>
        <item x="22"/>
        <item x="69"/>
        <item x="95"/>
        <item x="191"/>
        <item x="93"/>
        <item x="21"/>
        <item x="200"/>
        <item x="224"/>
        <item x="96"/>
        <item x="59"/>
        <item x="117"/>
        <item x="19"/>
        <item x="216"/>
        <item x="162"/>
        <item x="88"/>
        <item x="150"/>
        <item x="213"/>
        <item x="128"/>
        <item x="103"/>
        <item x="155"/>
        <item x="36"/>
        <item x="130"/>
        <item x="24"/>
        <item x="214"/>
        <item x="221"/>
        <item x="2"/>
        <item x="8"/>
        <item x="176"/>
        <item x="193"/>
        <item x="203"/>
        <item x="163"/>
        <item x="66"/>
        <item x="5"/>
        <item x="202"/>
        <item x="134"/>
        <item x="230"/>
        <item x="14"/>
        <item x="181"/>
        <item x="28"/>
        <item x="79"/>
        <item x="67"/>
        <item x="31"/>
        <item x="175"/>
        <item x="101"/>
        <item x="189"/>
        <item x="171"/>
        <item x="113"/>
        <item x="212"/>
        <item x="100"/>
        <item x="74"/>
        <item x="61"/>
        <item x="39"/>
        <item x="153"/>
        <item x="225"/>
        <item x="1"/>
        <item x="210"/>
        <item x="45"/>
        <item x="138"/>
        <item x="40"/>
        <item x="106"/>
        <item x="83"/>
        <item x="53"/>
        <item x="170"/>
        <item x="145"/>
        <item x="220"/>
        <item x="51"/>
        <item x="77"/>
        <item x="231"/>
        <item x="131"/>
        <item x="26"/>
        <item x="123"/>
        <item x="146"/>
        <item x="199"/>
        <item x="160"/>
        <item x="159"/>
        <item x="183"/>
        <item x="205"/>
        <item x="139"/>
        <item x="109"/>
        <item x="63"/>
        <item x="229"/>
        <item x="47"/>
        <item x="27"/>
        <item x="85"/>
        <item x="114"/>
        <item x="185"/>
        <item x="0"/>
        <item x="70"/>
        <item x="32"/>
        <item x="194"/>
        <item x="23"/>
        <item x="126"/>
        <item x="168"/>
        <item x="136"/>
        <item x="149"/>
        <item x="34"/>
        <item x="73"/>
        <item x="112"/>
        <item x="190"/>
        <item x="169"/>
        <item x="206"/>
        <item x="37"/>
        <item x="142"/>
        <item x="7"/>
        <item x="76"/>
        <item x="11"/>
        <item x="187"/>
        <item x="195"/>
        <item x="188"/>
        <item x="152"/>
        <item x="232"/>
        <item x="121"/>
        <item t="default"/>
      </items>
    </pivotField>
    <pivotField showAll="0"/>
    <pivotField showAll="0"/>
    <pivotField showAll="0"/>
    <pivotField showAll="0"/>
    <pivotField showAll="0"/>
    <pivotField showAll="0"/>
    <pivotField showAll="0"/>
    <pivotField dataField="1" showAll="0"/>
    <pivotField showAll="0"/>
    <pivotField axis="axisRow" showAll="0">
      <items count="5">
        <item x="0"/>
        <item x="1"/>
        <item x="3"/>
        <item x="2"/>
        <item t="default"/>
      </items>
    </pivotField>
    <pivotField dragToRow="0" dragToCol="0" dragToPage="0" showAll="0" defaultSubtotal="0"/>
    <pivotField dragToRow="0" dragToCol="0" dragToPage="0" showAll="0" defaultSubtotal="0"/>
    <pivotField dragToRow="0" dragToCol="0" dragToPage="0" showAll="0" defaultSubtota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s>
  <rowFields count="1">
    <field x="12"/>
  </rowFields>
  <rowItems count="5">
    <i>
      <x/>
    </i>
    <i>
      <x v="1"/>
    </i>
    <i>
      <x v="2"/>
    </i>
    <i>
      <x v="3"/>
    </i>
    <i t="grand">
      <x/>
    </i>
  </rowItems>
  <colItems count="1">
    <i/>
  </colItems>
  <dataFields count="1">
    <dataField name="Total Clicks" fld="10"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7FC2A6F-C8EA-4E9E-82AF-3FE1A1871BF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C28" firstHeaderRow="1" firstDataRow="1" firstDataCol="1"/>
  <pivotFields count="17">
    <pivotField showAll="0"/>
    <pivotField showAll="0"/>
    <pivotField numFmtId="165" showAll="0">
      <items count="236">
        <item x="58"/>
        <item x="118"/>
        <item x="222"/>
        <item x="54"/>
        <item x="122"/>
        <item x="68"/>
        <item x="233"/>
        <item x="75"/>
        <item x="174"/>
        <item x="198"/>
        <item x="137"/>
        <item x="72"/>
        <item x="91"/>
        <item x="125"/>
        <item x="119"/>
        <item x="197"/>
        <item x="201"/>
        <item x="16"/>
        <item x="234"/>
        <item x="148"/>
        <item x="192"/>
        <item x="43"/>
        <item x="97"/>
        <item x="110"/>
        <item x="219"/>
        <item x="223"/>
        <item x="120"/>
        <item x="115"/>
        <item x="87"/>
        <item x="25"/>
        <item x="9"/>
        <item x="44"/>
        <item x="92"/>
        <item x="90"/>
        <item x="217"/>
        <item x="178"/>
        <item x="164"/>
        <item x="89"/>
        <item x="86"/>
        <item x="215"/>
        <item x="65"/>
        <item x="64"/>
        <item x="154"/>
        <item x="129"/>
        <item x="3"/>
        <item x="147"/>
        <item x="186"/>
        <item x="57"/>
        <item x="157"/>
        <item x="38"/>
        <item x="82"/>
        <item x="143"/>
        <item x="98"/>
        <item x="33"/>
        <item x="13"/>
        <item x="29"/>
        <item x="52"/>
        <item x="6"/>
        <item x="173"/>
        <item x="116"/>
        <item x="48"/>
        <item x="10"/>
        <item x="111"/>
        <item x="71"/>
        <item x="62"/>
        <item x="140"/>
        <item x="158"/>
        <item x="211"/>
        <item x="20"/>
        <item x="15"/>
        <item x="4"/>
        <item x="208"/>
        <item x="17"/>
        <item x="167"/>
        <item x="135"/>
        <item x="196"/>
        <item x="218"/>
        <item x="226"/>
        <item x="104"/>
        <item x="228"/>
        <item x="161"/>
        <item x="18"/>
        <item x="60"/>
        <item x="207"/>
        <item x="177"/>
        <item x="166"/>
        <item x="42"/>
        <item x="108"/>
        <item x="55"/>
        <item x="184"/>
        <item x="105"/>
        <item x="94"/>
        <item x="84"/>
        <item x="165"/>
        <item x="80"/>
        <item x="209"/>
        <item x="151"/>
        <item x="56"/>
        <item x="50"/>
        <item x="227"/>
        <item x="81"/>
        <item x="182"/>
        <item x="78"/>
        <item x="132"/>
        <item x="46"/>
        <item x="156"/>
        <item x="144"/>
        <item x="49"/>
        <item x="41"/>
        <item x="102"/>
        <item x="107"/>
        <item x="35"/>
        <item x="179"/>
        <item x="204"/>
        <item x="172"/>
        <item x="99"/>
        <item x="141"/>
        <item x="124"/>
        <item x="133"/>
        <item x="127"/>
        <item x="180"/>
        <item x="12"/>
        <item x="30"/>
        <item x="22"/>
        <item x="69"/>
        <item x="95"/>
        <item x="191"/>
        <item x="93"/>
        <item x="21"/>
        <item x="200"/>
        <item x="224"/>
        <item x="96"/>
        <item x="59"/>
        <item x="117"/>
        <item x="19"/>
        <item x="216"/>
        <item x="162"/>
        <item x="88"/>
        <item x="150"/>
        <item x="213"/>
        <item x="128"/>
        <item x="103"/>
        <item x="155"/>
        <item x="36"/>
        <item x="130"/>
        <item x="24"/>
        <item x="214"/>
        <item x="221"/>
        <item x="2"/>
        <item x="8"/>
        <item x="176"/>
        <item x="193"/>
        <item x="203"/>
        <item x="163"/>
        <item x="66"/>
        <item x="5"/>
        <item x="202"/>
        <item x="134"/>
        <item x="230"/>
        <item x="14"/>
        <item x="181"/>
        <item x="28"/>
        <item x="79"/>
        <item x="67"/>
        <item x="31"/>
        <item x="175"/>
        <item x="101"/>
        <item x="189"/>
        <item x="171"/>
        <item x="113"/>
        <item x="212"/>
        <item x="100"/>
        <item x="74"/>
        <item x="61"/>
        <item x="39"/>
        <item x="153"/>
        <item x="225"/>
        <item x="1"/>
        <item x="210"/>
        <item x="45"/>
        <item x="138"/>
        <item x="40"/>
        <item x="106"/>
        <item x="83"/>
        <item x="53"/>
        <item x="170"/>
        <item x="145"/>
        <item x="220"/>
        <item x="51"/>
        <item x="77"/>
        <item x="231"/>
        <item x="131"/>
        <item x="26"/>
        <item x="123"/>
        <item x="146"/>
        <item x="199"/>
        <item x="160"/>
        <item x="159"/>
        <item x="183"/>
        <item x="205"/>
        <item x="139"/>
        <item x="109"/>
        <item x="63"/>
        <item x="229"/>
        <item x="47"/>
        <item x="27"/>
        <item x="85"/>
        <item x="114"/>
        <item x="185"/>
        <item x="0"/>
        <item x="70"/>
        <item x="32"/>
        <item x="194"/>
        <item x="23"/>
        <item x="126"/>
        <item x="168"/>
        <item x="136"/>
        <item x="149"/>
        <item x="34"/>
        <item x="73"/>
        <item x="112"/>
        <item x="190"/>
        <item x="169"/>
        <item x="206"/>
        <item x="37"/>
        <item x="142"/>
        <item x="7"/>
        <item x="76"/>
        <item x="11"/>
        <item x="187"/>
        <item x="195"/>
        <item x="188"/>
        <item x="152"/>
        <item x="232"/>
        <item x="121"/>
        <item t="default"/>
      </items>
    </pivotField>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dragToRow="0" dragToCol="0" dragToPage="0" showAll="0" defaultSubtotal="0"/>
    <pivotField dragToRow="0" dragToCol="0" dragToPage="0" showAll="0" defaultSubtotal="0"/>
    <pivotField dataField="1" dragToRow="0" dragToCol="0" dragToPage="0" showAll="0" defaultSubtotal="0"/>
    <pivotField showAll="0">
      <items count="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s>
  <rowFields count="1">
    <field x="12"/>
  </rowFields>
  <rowItems count="5">
    <i>
      <x/>
    </i>
    <i>
      <x v="1"/>
    </i>
    <i>
      <x v="2"/>
    </i>
    <i>
      <x v="3"/>
    </i>
    <i t="grand">
      <x/>
    </i>
  </rowItems>
  <colItems count="1">
    <i/>
  </colItems>
  <dataFields count="1">
    <dataField name="Sum of Total Engagemen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36AB00D-8BB0-4C6C-8116-1A8B5954618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8:B85" firstHeaderRow="1" firstDataRow="1" firstDataCol="1"/>
  <pivotFields count="17">
    <pivotField showAll="0"/>
    <pivotField showAll="0"/>
    <pivotField axis="axisRow" numFmtId="165" showAll="0">
      <items count="236">
        <item x="58"/>
        <item x="118"/>
        <item x="222"/>
        <item x="54"/>
        <item x="122"/>
        <item x="68"/>
        <item x="233"/>
        <item x="75"/>
        <item x="174"/>
        <item x="198"/>
        <item x="137"/>
        <item x="72"/>
        <item x="91"/>
        <item x="125"/>
        <item x="119"/>
        <item x="197"/>
        <item x="201"/>
        <item x="16"/>
        <item x="234"/>
        <item x="148"/>
        <item x="192"/>
        <item x="43"/>
        <item x="97"/>
        <item x="110"/>
        <item x="219"/>
        <item x="223"/>
        <item x="120"/>
        <item x="115"/>
        <item x="87"/>
        <item x="25"/>
        <item x="9"/>
        <item x="44"/>
        <item x="92"/>
        <item x="90"/>
        <item x="217"/>
        <item x="178"/>
        <item x="164"/>
        <item x="89"/>
        <item x="86"/>
        <item x="215"/>
        <item x="65"/>
        <item x="64"/>
        <item x="154"/>
        <item x="129"/>
        <item x="3"/>
        <item x="147"/>
        <item x="186"/>
        <item x="57"/>
        <item x="157"/>
        <item x="38"/>
        <item x="82"/>
        <item x="143"/>
        <item x="98"/>
        <item x="33"/>
        <item x="13"/>
        <item x="29"/>
        <item x="52"/>
        <item x="6"/>
        <item x="173"/>
        <item x="116"/>
        <item x="48"/>
        <item x="10"/>
        <item x="111"/>
        <item x="71"/>
        <item x="62"/>
        <item x="140"/>
        <item x="158"/>
        <item x="211"/>
        <item x="20"/>
        <item x="15"/>
        <item x="4"/>
        <item x="208"/>
        <item x="17"/>
        <item x="167"/>
        <item x="135"/>
        <item x="196"/>
        <item x="218"/>
        <item x="226"/>
        <item x="104"/>
        <item x="228"/>
        <item x="161"/>
        <item x="18"/>
        <item x="60"/>
        <item x="207"/>
        <item x="177"/>
        <item x="166"/>
        <item x="42"/>
        <item x="108"/>
        <item x="55"/>
        <item x="184"/>
        <item x="105"/>
        <item x="94"/>
        <item x="84"/>
        <item x="165"/>
        <item x="80"/>
        <item x="209"/>
        <item x="151"/>
        <item x="56"/>
        <item x="50"/>
        <item x="227"/>
        <item x="81"/>
        <item x="182"/>
        <item x="78"/>
        <item x="132"/>
        <item x="46"/>
        <item x="156"/>
        <item x="144"/>
        <item x="49"/>
        <item x="41"/>
        <item x="102"/>
        <item x="107"/>
        <item x="35"/>
        <item x="179"/>
        <item x="204"/>
        <item x="172"/>
        <item x="99"/>
        <item x="141"/>
        <item x="124"/>
        <item x="133"/>
        <item x="127"/>
        <item x="180"/>
        <item x="12"/>
        <item x="30"/>
        <item x="22"/>
        <item x="69"/>
        <item x="95"/>
        <item x="191"/>
        <item x="93"/>
        <item x="21"/>
        <item x="200"/>
        <item x="224"/>
        <item x="96"/>
        <item x="59"/>
        <item x="117"/>
        <item x="19"/>
        <item x="216"/>
        <item x="162"/>
        <item x="88"/>
        <item x="150"/>
        <item x="213"/>
        <item x="128"/>
        <item x="103"/>
        <item x="155"/>
        <item x="36"/>
        <item x="130"/>
        <item x="24"/>
        <item x="214"/>
        <item x="221"/>
        <item x="2"/>
        <item x="8"/>
        <item x="176"/>
        <item x="193"/>
        <item x="203"/>
        <item x="163"/>
        <item x="66"/>
        <item x="5"/>
        <item x="202"/>
        <item x="134"/>
        <item x="230"/>
        <item x="14"/>
        <item x="181"/>
        <item x="28"/>
        <item x="79"/>
        <item x="67"/>
        <item x="31"/>
        <item x="175"/>
        <item x="101"/>
        <item x="189"/>
        <item x="171"/>
        <item x="113"/>
        <item x="212"/>
        <item x="100"/>
        <item x="74"/>
        <item x="61"/>
        <item x="39"/>
        <item x="153"/>
        <item x="225"/>
        <item x="1"/>
        <item x="210"/>
        <item x="45"/>
        <item x="138"/>
        <item x="40"/>
        <item x="106"/>
        <item x="83"/>
        <item x="53"/>
        <item x="170"/>
        <item x="145"/>
        <item x="220"/>
        <item x="51"/>
        <item x="77"/>
        <item x="231"/>
        <item x="131"/>
        <item x="26"/>
        <item x="123"/>
        <item x="146"/>
        <item x="199"/>
        <item x="160"/>
        <item x="159"/>
        <item x="183"/>
        <item x="205"/>
        <item x="139"/>
        <item x="109"/>
        <item x="63"/>
        <item x="229"/>
        <item x="47"/>
        <item x="27"/>
        <item x="85"/>
        <item x="114"/>
        <item x="185"/>
        <item x="0"/>
        <item x="70"/>
        <item x="32"/>
        <item x="194"/>
        <item x="23"/>
        <item x="126"/>
        <item x="168"/>
        <item x="136"/>
        <item x="149"/>
        <item x="34"/>
        <item x="73"/>
        <item x="112"/>
        <item x="190"/>
        <item x="169"/>
        <item x="206"/>
        <item x="37"/>
        <item x="142"/>
        <item x="7"/>
        <item x="76"/>
        <item x="11"/>
        <item x="187"/>
        <item x="195"/>
        <item x="188"/>
        <item x="152"/>
        <item x="232"/>
        <item x="121"/>
        <item t="default"/>
      </items>
    </pivotField>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 dragToRow="0" dragToCol="0" dragToPage="0" showAll="0" defaultSubtotal="0"/>
    <pivotField axis="axisRow" showAll="0" sortType="descending">
      <items count="8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t="default" sd="0"/>
      </items>
      <autoSortScope>
        <pivotArea dataOnly="0" outline="0" fieldPosition="0">
          <references count="1">
            <reference field="4294967294" count="1" selected="0">
              <x v="0"/>
            </reference>
          </references>
        </pivotArea>
      </autoSortScope>
    </pivotField>
  </pivotFields>
  <rowFields count="2">
    <field x="16"/>
    <field x="2"/>
  </rowFields>
  <rowItems count="77">
    <i>
      <x v="19"/>
    </i>
    <i>
      <x v="41"/>
    </i>
    <i>
      <x v="2"/>
    </i>
    <i>
      <x v="14"/>
    </i>
    <i>
      <x v="64"/>
    </i>
    <i>
      <x v="35"/>
    </i>
    <i>
      <x v="62"/>
    </i>
    <i>
      <x v="8"/>
    </i>
    <i>
      <x v="28"/>
    </i>
    <i>
      <x v="74"/>
    </i>
    <i>
      <x v="49"/>
    </i>
    <i>
      <x v="55"/>
    </i>
    <i>
      <x v="58"/>
    </i>
    <i>
      <x v="72"/>
    </i>
    <i>
      <x v="53"/>
    </i>
    <i>
      <x v="36"/>
    </i>
    <i>
      <x v="77"/>
    </i>
    <i>
      <x v="57"/>
    </i>
    <i>
      <x v="42"/>
    </i>
    <i>
      <x v="70"/>
    </i>
    <i>
      <x v="50"/>
    </i>
    <i>
      <x v="47"/>
    </i>
    <i>
      <x v="56"/>
    </i>
    <i>
      <x v="7"/>
    </i>
    <i>
      <x v="54"/>
    </i>
    <i>
      <x v="23"/>
    </i>
    <i>
      <x v="12"/>
    </i>
    <i>
      <x v="45"/>
    </i>
    <i>
      <x v="71"/>
    </i>
    <i>
      <x v="46"/>
    </i>
    <i>
      <x v="29"/>
    </i>
    <i>
      <x v="48"/>
    </i>
    <i>
      <x v="60"/>
    </i>
    <i>
      <x v="32"/>
    </i>
    <i>
      <x v="24"/>
    </i>
    <i>
      <x v="6"/>
    </i>
    <i>
      <x v="27"/>
    </i>
    <i>
      <x v="33"/>
    </i>
    <i>
      <x v="68"/>
    </i>
    <i>
      <x v="5"/>
    </i>
    <i>
      <x v="37"/>
    </i>
    <i>
      <x v="13"/>
    </i>
    <i>
      <x v="76"/>
    </i>
    <i>
      <x v="51"/>
    </i>
    <i>
      <x v="69"/>
    </i>
    <i>
      <x v="16"/>
    </i>
    <i>
      <x v="67"/>
    </i>
    <i>
      <x v="43"/>
    </i>
    <i>
      <x v="39"/>
    </i>
    <i>
      <x v="20"/>
    </i>
    <i>
      <x v="25"/>
    </i>
    <i>
      <x v="4"/>
    </i>
    <i>
      <x v="1"/>
    </i>
    <i>
      <x v="40"/>
    </i>
    <i>
      <x v="11"/>
    </i>
    <i>
      <x v="3"/>
    </i>
    <i>
      <x v="38"/>
    </i>
    <i>
      <x v="26"/>
    </i>
    <i>
      <x v="15"/>
    </i>
    <i>
      <x v="30"/>
    </i>
    <i>
      <x v="22"/>
    </i>
    <i>
      <x v="18"/>
    </i>
    <i>
      <x v="59"/>
    </i>
    <i>
      <x v="17"/>
    </i>
    <i>
      <x v="10"/>
    </i>
    <i>
      <x v="66"/>
    </i>
    <i>
      <x v="75"/>
    </i>
    <i>
      <x v="52"/>
    </i>
    <i>
      <x v="78"/>
    </i>
    <i>
      <x v="79"/>
    </i>
    <i>
      <x v="44"/>
    </i>
    <i>
      <x v="73"/>
    </i>
    <i>
      <x v="34"/>
    </i>
    <i>
      <x v="9"/>
    </i>
    <i>
      <x v="61"/>
    </i>
    <i>
      <x v="31"/>
    </i>
    <i>
      <x v="21"/>
    </i>
  </rowItems>
  <colItems count="1">
    <i/>
  </colItems>
  <dataFields count="1">
    <dataField name="Total Clicks" fld="10" baseField="16" baseItem="1"/>
  </dataFields>
  <formats count="10">
    <format dxfId="9">
      <pivotArea type="all" dataOnly="0" outline="0" fieldPosition="0"/>
    </format>
    <format dxfId="8">
      <pivotArea outline="0" collapsedLevelsAreSubtotals="1" fieldPosition="0"/>
    </format>
    <format dxfId="7">
      <pivotArea field="16" type="button" dataOnly="0" labelOnly="1" outline="0" axis="axisRow" fieldPosition="0"/>
    </format>
    <format dxfId="6">
      <pivotArea dataOnly="0" labelOnly="1" fieldPosition="0">
        <references count="1">
          <reference field="16" count="50">
            <x v="2"/>
            <x v="5"/>
            <x v="6"/>
            <x v="7"/>
            <x v="8"/>
            <x v="12"/>
            <x v="13"/>
            <x v="14"/>
            <x v="16"/>
            <x v="19"/>
            <x v="20"/>
            <x v="23"/>
            <x v="24"/>
            <x v="27"/>
            <x v="28"/>
            <x v="29"/>
            <x v="32"/>
            <x v="33"/>
            <x v="35"/>
            <x v="36"/>
            <x v="37"/>
            <x v="39"/>
            <x v="41"/>
            <x v="42"/>
            <x v="43"/>
            <x v="45"/>
            <x v="46"/>
            <x v="47"/>
            <x v="48"/>
            <x v="49"/>
            <x v="50"/>
            <x v="51"/>
            <x v="53"/>
            <x v="54"/>
            <x v="55"/>
            <x v="56"/>
            <x v="57"/>
            <x v="58"/>
            <x v="60"/>
            <x v="62"/>
            <x v="64"/>
            <x v="67"/>
            <x v="68"/>
            <x v="69"/>
            <x v="70"/>
            <x v="71"/>
            <x v="72"/>
            <x v="74"/>
            <x v="76"/>
            <x v="77"/>
          </reference>
        </references>
      </pivotArea>
    </format>
    <format dxfId="5">
      <pivotArea dataOnly="0" labelOnly="1" fieldPosition="0">
        <references count="1">
          <reference field="16" count="27">
            <x v="1"/>
            <x v="3"/>
            <x v="4"/>
            <x v="9"/>
            <x v="10"/>
            <x v="11"/>
            <x v="15"/>
            <x v="17"/>
            <x v="18"/>
            <x v="21"/>
            <x v="22"/>
            <x v="25"/>
            <x v="26"/>
            <x v="30"/>
            <x v="31"/>
            <x v="34"/>
            <x v="38"/>
            <x v="40"/>
            <x v="44"/>
            <x v="52"/>
            <x v="59"/>
            <x v="61"/>
            <x v="66"/>
            <x v="73"/>
            <x v="75"/>
            <x v="78"/>
            <x v="79"/>
          </reference>
        </references>
      </pivotArea>
    </format>
    <format dxfId="4">
      <pivotArea dataOnly="0" labelOnly="1" grandRow="1" outline="0" fieldPosition="0"/>
    </format>
    <format dxfId="3">
      <pivotArea dataOnly="0" labelOnly="1" outline="0" axis="axisValues" fieldPosition="0"/>
    </format>
    <format dxfId="2">
      <pivotArea field="16" type="button" dataOnly="0" labelOnly="1" outline="0" axis="axisRow" fieldPosition="0"/>
    </format>
    <format dxfId="1">
      <pivotArea dataOnly="0" labelOnly="1" outline="0" axis="axisValues" fieldPosition="0"/>
    </format>
    <format dxfId="0">
      <pivotArea dataOnly="0" fieldPosition="0">
        <references count="1">
          <reference field="16" count="1">
            <x v="19"/>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4" format="0"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6DD7A6-A9C1-4841-896A-706340010303}" autoFormatId="16" applyNumberFormats="0" applyBorderFormats="0" applyFontFormats="0" applyPatternFormats="0" applyAlignmentFormats="0" applyWidthHeightFormats="0">
  <queryTableRefresh nextId="17" unboundColumnsRight="2">
    <queryTableFields count="15">
      <queryTableField id="1" name="Post ID" tableColumnId="1"/>
      <queryTableField id="2" name="Platform" tableColumnId="2"/>
      <queryTableField id="3" name="Date" tableColumnId="3"/>
      <queryTableField id="4" name="Content Type" tableColumnId="4"/>
      <queryTableField id="5" name="Post Text" tableColumnId="5"/>
      <queryTableField id="6" name="Likes" tableColumnId="6"/>
      <queryTableField id="7" name="Shares" tableColumnId="7"/>
      <queryTableField id="8" name="Comments" tableColumnId="8"/>
      <queryTableField id="9" name="Impressions" tableColumnId="9"/>
      <queryTableField id="10" name="Reach" tableColumnId="10"/>
      <queryTableField id="11" name="Clicks" tableColumnId="11"/>
      <queryTableField id="12" name="Hashtags Used" tableColumnId="12"/>
      <queryTableField id="13" name="Campaign_Name" tableColumnId="13"/>
      <queryTableField id="15" dataBound="0" tableColumnId="14"/>
      <queryTableField id="16" dataBound="0" tableColumnId="15"/>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9D9AF9-8718-46B8-A9A3-9BCFFFF768A6}" name="Table1" displayName="Table1" ref="A1:O1699" totalsRowShown="0" headerRowDxfId="170" dataDxfId="169">
  <autoFilter ref="A1:O1699" xr:uid="{6D9D9AF9-8718-46B8-A9A3-9BCFFFF768A6}"/>
  <sortState xmlns:xlrd2="http://schemas.microsoft.com/office/spreadsheetml/2017/richdata2" ref="A2:N301">
    <sortCondition descending="1" ref="N2:N301"/>
  </sortState>
  <tableColumns count="15">
    <tableColumn id="1" xr3:uid="{B024AD36-838B-4878-A14D-52ABA7167861}" name="Post ID" dataDxfId="168"/>
    <tableColumn id="2" xr3:uid="{72C42697-A3D5-46A5-865E-6E27C1CA814B}" name="Platform" dataDxfId="167"/>
    <tableColumn id="3" xr3:uid="{F8A0508D-0E13-4781-AACD-567370EF9AF9}" name="Date" dataDxfId="166"/>
    <tableColumn id="4" xr3:uid="{AC63B35C-012D-45AE-B88B-FC8713BF65B2}" name="Content Type" dataDxfId="165"/>
    <tableColumn id="5" xr3:uid="{BA17C145-CA70-4827-88B7-4B12C786C378}" name="Post Text" dataDxfId="164"/>
    <tableColumn id="6" xr3:uid="{0B2898CE-1365-4127-9D8D-04F998C5840E}" name="Likes" dataDxfId="163"/>
    <tableColumn id="7" xr3:uid="{FDC58CC7-C29C-4B09-A860-FF661E2770CF}" name="Shares" dataDxfId="162"/>
    <tableColumn id="8" xr3:uid="{A34B9B7D-E40E-4E6D-9030-6F62EBBB5CAC}" name="Comments" dataDxfId="161"/>
    <tableColumn id="9" xr3:uid="{89639F53-AF4E-46F0-9C77-30B71960E9E1}" name="Impressions" dataDxfId="160"/>
    <tableColumn id="10" xr3:uid="{1E19A638-A375-4B01-AA89-BA5FEFE0B3F7}" name="Reach" dataDxfId="159"/>
    <tableColumn id="11" xr3:uid="{55FCC223-2D57-459A-9152-5795F7301CEB}" name="Clicks" dataDxfId="158"/>
    <tableColumn id="12" xr3:uid="{730AE460-5FEF-4213-B152-DD7C03D11B6E}" name="Hashtags Used" dataDxfId="157"/>
    <tableColumn id="13" xr3:uid="{2DF50AF5-D21C-4301-817C-05B0E092A282}" name="Seprrated # tags" dataDxfId="156"/>
    <tableColumn id="14" xr3:uid="{E7EBA7B0-F469-46BC-9593-1E3AC60ADFED}" name="Engaement Rate" dataDxfId="155" dataCellStyle="Percent">
      <calculatedColumnFormula>(Table1[[#This Row],[Likes]]+Table1[[#This Row],[Shares]]+Table1[[#This Row],[Comments]])/Table1[[#This Row],[Impressions]]</calculatedColumnFormula>
    </tableColumn>
    <tableColumn id="15" xr3:uid="{2FE80271-33ED-4A86-9869-1A501BC939BB}" name="Total Engagement" dataDxfId="154">
      <calculatedColumnFormula>SUM(Table1[[#This Row],[Likes]:[Comments]])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A02523-4ECA-4FE3-9DF2-9D6F3734E012}" name="Table1_1" displayName="Table1_1" ref="A1:O301" tableType="queryTable" totalsRowShown="0">
  <autoFilter ref="A1:O301" xr:uid="{31A02523-4ECA-4FE3-9DF2-9D6F3734E012}"/>
  <sortState xmlns:xlrd2="http://schemas.microsoft.com/office/spreadsheetml/2017/richdata2" ref="A2:N301">
    <sortCondition descending="1" ref="N2:N484"/>
  </sortState>
  <tableColumns count="15">
    <tableColumn id="1" xr3:uid="{429F7C78-3DAC-4190-B825-E010DFEA75F1}" uniqueName="1" name="Post ID" queryTableFieldId="1" dataDxfId="153"/>
    <tableColumn id="2" xr3:uid="{B789485B-7EBB-4810-8013-ACB6C94E7F70}" uniqueName="2" name="Platform" queryTableFieldId="2" dataDxfId="152"/>
    <tableColumn id="3" xr3:uid="{5F62D6DC-CF9A-4311-BAC3-F3B2A317957F}" uniqueName="3" name="Date" queryTableFieldId="3" dataDxfId="151"/>
    <tableColumn id="4" xr3:uid="{7AECF7B2-A28B-499A-9D8A-328F5DC49840}" uniqueName="4" name="Content Type" queryTableFieldId="4" dataDxfId="150"/>
    <tableColumn id="5" xr3:uid="{D6D3A431-CFFC-4993-B630-48F377AD13A8}" uniqueName="5" name="Post Text" queryTableFieldId="5" dataDxfId="149"/>
    <tableColumn id="6" xr3:uid="{B1C6DEE5-808B-48E7-B9F7-BF03B0D108DB}" uniqueName="6" name="Likes" queryTableFieldId="6" dataDxfId="148"/>
    <tableColumn id="7" xr3:uid="{B56E13D3-4FEA-4AAC-8584-6902ED088ABB}" uniqueName="7" name="Shares" queryTableFieldId="7" dataDxfId="147"/>
    <tableColumn id="8" xr3:uid="{FD1A7C77-EB7C-46E3-B6A8-86FDCEF7C7A9}" uniqueName="8" name="Comments" queryTableFieldId="8" dataDxfId="146"/>
    <tableColumn id="9" xr3:uid="{5C1AAAD5-B17A-4378-8116-A4187F027792}" uniqueName="9" name="Impressions" queryTableFieldId="9" dataDxfId="145"/>
    <tableColumn id="10" xr3:uid="{6B332D79-9BCB-4C66-B492-28E83BB4FE11}" uniqueName="10" name="Reach" queryTableFieldId="10" dataDxfId="144"/>
    <tableColumn id="11" xr3:uid="{936C7D31-E62B-4963-9374-D2C55AEC0F5B}" uniqueName="11" name="Clicks" queryTableFieldId="11" dataDxfId="143"/>
    <tableColumn id="12" xr3:uid="{053132F6-9079-4595-B502-0C1938ABF145}" uniqueName="12" name="Hashtags Used" queryTableFieldId="12" dataDxfId="142"/>
    <tableColumn id="13" xr3:uid="{F1BC3667-0C7E-4279-BCDD-5137C2BBDEF6}" uniqueName="13" name="Campaign_Name" queryTableFieldId="13" dataDxfId="141"/>
    <tableColumn id="14" xr3:uid="{23652998-4EC6-40EB-B16C-B7FCE7F1CCA0}" uniqueName="14" name="Engagement Rate" queryTableFieldId="15" dataDxfId="140" dataCellStyle="Percent">
      <calculatedColumnFormula>(Table1_1[[#This Row],[Likes]]+Table1_1[[#This Row],[Shares]]+Table1_1[[#This Row],[Comments]])/Table1_1[[#This Row],[Impressions]]</calculatedColumnFormula>
    </tableColumn>
    <tableColumn id="15" xr3:uid="{A150E25A-A715-4A33-B14E-98247E089E96}" uniqueName="15" name="Campaign Status " queryTableFieldId="16" dataDxfId="139">
      <calculatedColumnFormula>IF(Table1_1[[#This Row],[Date]] &lt; DATE(2025,1,1),"Before","During")</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 dockstate="right" visibility="0" width="525"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33FE9B9-20EA-490B-9F43-41E4105552EE}">
  <we:reference id="wa200005502" version="1.0.0.12" store="en-US" storeType="OMEX"/>
  <we:alternateReferences>
    <we:reference id="WA200005502" version="1.0.0.12" store="" storeType="OMEX"/>
  </we:alternateReferences>
  <we:properties>
    <we:property name="docId" value="&quot;1-Owji72CNPHv6NUBjGuT&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FE2E5E4F-E219-4868-AC2A-227BB3EF94D2}">
  <we:reference id="wa104168603" version="1.0.0.6" store="en-US" storeType="OMEX"/>
  <we:alternateReferences>
    <we:reference id="wa104168603" version="1.0.0.6" store="wa10416860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3.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4.xml"/><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drawing" Target="../drawings/drawing5.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979B6-8F7E-4FAF-94BB-C2A55C21F792}">
  <dimension ref="A1"/>
  <sheetViews>
    <sheetView tabSelected="1" topLeftCell="G1" workbookViewId="0">
      <selection activeCell="Q12" sqref="Q12"/>
    </sheetView>
  </sheetViews>
  <sheetFormatPr defaultRowHeight="14.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99"/>
  <sheetViews>
    <sheetView topLeftCell="H1" zoomScale="92" workbookViewId="0">
      <selection activeCell="N12" sqref="N12"/>
    </sheetView>
  </sheetViews>
  <sheetFormatPr defaultColWidth="14.453125" defaultRowHeight="15" customHeight="1"/>
  <cols>
    <col min="1" max="1" width="9.54296875" style="2" customWidth="1"/>
    <col min="2" max="2" width="10.6328125" style="2" customWidth="1"/>
    <col min="3" max="3" width="10.81640625" style="3" bestFit="1" customWidth="1"/>
    <col min="4" max="4" width="15.36328125" style="2" customWidth="1"/>
    <col min="5" max="5" width="41.08984375" style="2" bestFit="1" customWidth="1"/>
    <col min="6" max="6" width="7.7265625" style="2" customWidth="1"/>
    <col min="7" max="7" width="9.36328125" style="2" customWidth="1"/>
    <col min="8" max="8" width="12.90625" style="2" customWidth="1"/>
    <col min="9" max="9" width="14.08984375" style="2" customWidth="1"/>
    <col min="10" max="10" width="8.7265625" style="2" customWidth="1"/>
    <col min="11" max="11" width="8.453125" style="2" customWidth="1"/>
    <col min="12" max="12" width="34.81640625" style="2" bestFit="1" customWidth="1"/>
    <col min="13" max="13" width="18.6328125" style="2" customWidth="1"/>
    <col min="14" max="14" width="24.08984375" style="4" customWidth="1"/>
    <col min="15" max="15" width="22.6328125" style="2" customWidth="1"/>
    <col min="16" max="16" width="18.453125" style="2" customWidth="1"/>
    <col min="17" max="17" width="8.7265625" style="2" customWidth="1"/>
    <col min="18" max="18" width="19.6328125" style="2" bestFit="1" customWidth="1"/>
    <col min="19" max="26" width="8.7265625" style="2" customWidth="1"/>
    <col min="27" max="16384" width="14.453125" style="2"/>
  </cols>
  <sheetData>
    <row r="1" spans="1:16" ht="14.5">
      <c r="A1" s="34" t="s">
        <v>0</v>
      </c>
      <c r="B1" s="34" t="s">
        <v>1</v>
      </c>
      <c r="C1" s="35" t="s">
        <v>2</v>
      </c>
      <c r="D1" s="34" t="s">
        <v>3</v>
      </c>
      <c r="E1" s="34" t="s">
        <v>4</v>
      </c>
      <c r="F1" s="34" t="s">
        <v>5</v>
      </c>
      <c r="G1" s="34" t="s">
        <v>6</v>
      </c>
      <c r="H1" s="34" t="s">
        <v>7</v>
      </c>
      <c r="I1" s="34" t="s">
        <v>8</v>
      </c>
      <c r="J1" s="34" t="s">
        <v>9</v>
      </c>
      <c r="K1" s="34" t="s">
        <v>10</v>
      </c>
      <c r="L1" s="34" t="s">
        <v>11</v>
      </c>
      <c r="M1" s="34" t="s">
        <v>497</v>
      </c>
      <c r="N1" s="36" t="s">
        <v>372</v>
      </c>
      <c r="O1" s="34" t="s">
        <v>391</v>
      </c>
      <c r="P1"/>
    </row>
    <row r="2" spans="1:16" ht="14.5">
      <c r="A2" s="31" t="s">
        <v>33</v>
      </c>
      <c r="B2" s="31" t="s">
        <v>23</v>
      </c>
      <c r="C2" s="32">
        <v>45645</v>
      </c>
      <c r="D2" s="31" t="s">
        <v>24</v>
      </c>
      <c r="E2" s="31" t="s">
        <v>34</v>
      </c>
      <c r="F2" s="31">
        <v>4674</v>
      </c>
      <c r="G2" s="31">
        <v>409</v>
      </c>
      <c r="H2" s="31">
        <v>327</v>
      </c>
      <c r="I2" s="31">
        <v>20756</v>
      </c>
      <c r="J2" s="31">
        <v>63599</v>
      </c>
      <c r="K2" s="31">
        <v>212</v>
      </c>
      <c r="L2" s="31" t="s">
        <v>41</v>
      </c>
      <c r="M2" s="31" t="s">
        <v>38</v>
      </c>
      <c r="N2" s="33">
        <f>(Table1[[#This Row],[Likes]]+Table1[[#This Row],[Shares]]+Table1[[#This Row],[Comments]])/Table1[[#This Row],[Impressions]]</f>
        <v>0.26064752360763155</v>
      </c>
      <c r="O2" s="31">
        <f>SUM(Table1[[#This Row],[Likes]:[Comments]])</f>
        <v>5410</v>
      </c>
    </row>
    <row r="3" spans="1:16" ht="14.5">
      <c r="A3" s="31" t="s">
        <v>141</v>
      </c>
      <c r="B3" s="31" t="s">
        <v>23</v>
      </c>
      <c r="C3" s="32">
        <v>45677</v>
      </c>
      <c r="D3" s="31" t="s">
        <v>24</v>
      </c>
      <c r="E3" s="31" t="s">
        <v>25</v>
      </c>
      <c r="F3" s="31">
        <v>4619</v>
      </c>
      <c r="G3" s="31">
        <v>272</v>
      </c>
      <c r="H3" s="31">
        <v>57</v>
      </c>
      <c r="I3" s="31">
        <v>21334</v>
      </c>
      <c r="J3" s="31">
        <v>46292</v>
      </c>
      <c r="K3" s="31">
        <v>91</v>
      </c>
      <c r="L3" s="31" t="s">
        <v>41</v>
      </c>
      <c r="M3" s="31" t="s">
        <v>38</v>
      </c>
      <c r="N3" s="33">
        <f>(Table1[[#This Row],[Likes]]+Table1[[#This Row],[Shares]]+Table1[[#This Row],[Comments]])/Table1[[#This Row],[Impressions]]</f>
        <v>0.23193025217961938</v>
      </c>
      <c r="O3" s="31">
        <f>SUM(Table1[[#This Row],[Likes]:[Comments]])</f>
        <v>4948</v>
      </c>
    </row>
    <row r="4" spans="1:16" ht="14.5">
      <c r="A4" s="31" t="s">
        <v>221</v>
      </c>
      <c r="B4" s="31" t="s">
        <v>23</v>
      </c>
      <c r="C4" s="32">
        <v>45459</v>
      </c>
      <c r="D4" s="31" t="s">
        <v>24</v>
      </c>
      <c r="E4" s="31" t="s">
        <v>19</v>
      </c>
      <c r="F4" s="31">
        <v>4618</v>
      </c>
      <c r="G4" s="31">
        <v>312</v>
      </c>
      <c r="H4" s="31">
        <v>254</v>
      </c>
      <c r="I4" s="31">
        <v>22571</v>
      </c>
      <c r="J4" s="31">
        <v>29453</v>
      </c>
      <c r="K4" s="31">
        <v>197</v>
      </c>
      <c r="L4" s="31" t="s">
        <v>368</v>
      </c>
      <c r="M4" s="31" t="s">
        <v>38</v>
      </c>
      <c r="N4" s="33">
        <f>(Table1[[#This Row],[Likes]]+Table1[[#This Row],[Shares]]+Table1[[#This Row],[Comments]])/Table1[[#This Row],[Impressions]]</f>
        <v>0.22967524699836073</v>
      </c>
      <c r="O4" s="31">
        <f>SUM(Table1[[#This Row],[Likes]:[Comments]])</f>
        <v>5184</v>
      </c>
    </row>
    <row r="5" spans="1:16" ht="14.5">
      <c r="A5" s="31" t="s">
        <v>314</v>
      </c>
      <c r="B5" s="31" t="s">
        <v>23</v>
      </c>
      <c r="C5" s="32">
        <v>45676</v>
      </c>
      <c r="D5" s="31" t="s">
        <v>24</v>
      </c>
      <c r="E5" s="31" t="s">
        <v>25</v>
      </c>
      <c r="F5" s="31">
        <v>3507</v>
      </c>
      <c r="G5" s="31">
        <v>295</v>
      </c>
      <c r="H5" s="31">
        <v>371</v>
      </c>
      <c r="I5" s="31">
        <v>20410</v>
      </c>
      <c r="J5" s="31">
        <v>53965</v>
      </c>
      <c r="K5" s="31">
        <v>212</v>
      </c>
      <c r="L5" s="31" t="s">
        <v>41</v>
      </c>
      <c r="M5" s="31" t="s">
        <v>38</v>
      </c>
      <c r="N5" s="33">
        <f>(Table1[[#This Row],[Likes]]+Table1[[#This Row],[Shares]]+Table1[[#This Row],[Comments]])/Table1[[#This Row],[Impressions]]</f>
        <v>0.20445859872611466</v>
      </c>
      <c r="O5" s="31">
        <f>SUM(Table1[[#This Row],[Likes]:[Comments]])</f>
        <v>4173</v>
      </c>
    </row>
    <row r="6" spans="1:16" ht="14.5">
      <c r="A6" s="31" t="s">
        <v>85</v>
      </c>
      <c r="B6" s="31" t="s">
        <v>23</v>
      </c>
      <c r="C6" s="32">
        <v>45769</v>
      </c>
      <c r="D6" s="31" t="s">
        <v>15</v>
      </c>
      <c r="E6" s="31" t="s">
        <v>16</v>
      </c>
      <c r="F6" s="31">
        <v>4401</v>
      </c>
      <c r="G6" s="31">
        <v>421</v>
      </c>
      <c r="H6" s="31">
        <v>216</v>
      </c>
      <c r="I6" s="31">
        <v>24890</v>
      </c>
      <c r="J6" s="31">
        <v>54361</v>
      </c>
      <c r="K6" s="31">
        <v>148</v>
      </c>
      <c r="L6" s="31" t="s">
        <v>38</v>
      </c>
      <c r="M6" s="31"/>
      <c r="N6" s="33">
        <f>(Table1[[#This Row],[Likes]]+Table1[[#This Row],[Shares]]+Table1[[#This Row],[Comments]])/Table1[[#This Row],[Impressions]]</f>
        <v>0.20241060666934513</v>
      </c>
      <c r="O6" s="31">
        <f>SUM(Table1[[#This Row],[Likes]:[Comments]])</f>
        <v>5038</v>
      </c>
    </row>
    <row r="7" spans="1:16" ht="14.5">
      <c r="A7" s="31" t="s">
        <v>57</v>
      </c>
      <c r="B7" s="31" t="s">
        <v>14</v>
      </c>
      <c r="C7" s="32">
        <v>45823</v>
      </c>
      <c r="D7" s="31" t="s">
        <v>15</v>
      </c>
      <c r="E7" s="31" t="s">
        <v>32</v>
      </c>
      <c r="F7" s="31">
        <v>4896</v>
      </c>
      <c r="G7" s="31">
        <v>466</v>
      </c>
      <c r="H7" s="31">
        <v>233</v>
      </c>
      <c r="I7" s="31">
        <v>28621</v>
      </c>
      <c r="J7" s="31">
        <v>34270</v>
      </c>
      <c r="K7" s="31">
        <v>84</v>
      </c>
      <c r="L7" s="31" t="s">
        <v>41</v>
      </c>
      <c r="M7" s="31" t="s">
        <v>38</v>
      </c>
      <c r="N7" s="33">
        <f>(Table1[[#This Row],[Likes]]+Table1[[#This Row],[Shares]]+Table1[[#This Row],[Comments]])/Table1[[#This Row],[Impressions]]</f>
        <v>0.19548583208133888</v>
      </c>
      <c r="O7" s="31">
        <f>SUM(Table1[[#This Row],[Likes]:[Comments]])</f>
        <v>5595</v>
      </c>
    </row>
    <row r="8" spans="1:16" ht="14.5">
      <c r="A8" s="31" t="s">
        <v>192</v>
      </c>
      <c r="B8" s="31" t="s">
        <v>29</v>
      </c>
      <c r="C8" s="32">
        <v>45718</v>
      </c>
      <c r="D8" s="31" t="s">
        <v>15</v>
      </c>
      <c r="E8" s="31" t="s">
        <v>45</v>
      </c>
      <c r="F8" s="31">
        <v>4425</v>
      </c>
      <c r="G8" s="31">
        <v>185</v>
      </c>
      <c r="H8" s="31">
        <v>162</v>
      </c>
      <c r="I8" s="31">
        <v>24610</v>
      </c>
      <c r="J8" s="31">
        <v>21342</v>
      </c>
      <c r="K8" s="31">
        <v>158</v>
      </c>
      <c r="L8" s="31" t="s">
        <v>20</v>
      </c>
      <c r="M8" s="31" t="s">
        <v>369</v>
      </c>
      <c r="N8" s="33">
        <f>(Table1[[#This Row],[Likes]]+Table1[[#This Row],[Shares]]+Table1[[#This Row],[Comments]])/Table1[[#This Row],[Impressions]]</f>
        <v>0.19390491670052823</v>
      </c>
      <c r="O8" s="31">
        <f>SUM(Table1[[#This Row],[Likes]:[Comments]])</f>
        <v>4772</v>
      </c>
    </row>
    <row r="9" spans="1:16" ht="14.5">
      <c r="A9" s="31" t="s">
        <v>283</v>
      </c>
      <c r="B9" s="31" t="s">
        <v>29</v>
      </c>
      <c r="C9" s="32">
        <v>45457</v>
      </c>
      <c r="D9" s="31" t="s">
        <v>53</v>
      </c>
      <c r="E9" s="31" t="s">
        <v>27</v>
      </c>
      <c r="F9" s="31">
        <v>4722</v>
      </c>
      <c r="G9" s="31">
        <v>310</v>
      </c>
      <c r="H9" s="31">
        <v>344</v>
      </c>
      <c r="I9" s="31">
        <v>27911</v>
      </c>
      <c r="J9" s="31">
        <v>19000</v>
      </c>
      <c r="K9" s="31">
        <v>225</v>
      </c>
      <c r="L9" s="31" t="s">
        <v>20</v>
      </c>
      <c r="M9" s="31" t="s">
        <v>41</v>
      </c>
      <c r="N9" s="33">
        <f>(Table1[[#This Row],[Likes]]+Table1[[#This Row],[Shares]]+Table1[[#This Row],[Comments]])/Table1[[#This Row],[Impressions]]</f>
        <v>0.19261223173659131</v>
      </c>
      <c r="O9" s="31">
        <f>SUM(Table1[[#This Row],[Likes]:[Comments]])</f>
        <v>5376</v>
      </c>
    </row>
    <row r="10" spans="1:16" ht="14.5">
      <c r="A10" s="31" t="s">
        <v>171</v>
      </c>
      <c r="B10" s="31" t="s">
        <v>23</v>
      </c>
      <c r="C10" s="32">
        <v>45615</v>
      </c>
      <c r="D10" s="31" t="s">
        <v>15</v>
      </c>
      <c r="E10" s="31" t="s">
        <v>37</v>
      </c>
      <c r="F10" s="31">
        <v>3728</v>
      </c>
      <c r="G10" s="31">
        <v>271</v>
      </c>
      <c r="H10" s="31">
        <v>275</v>
      </c>
      <c r="I10" s="31">
        <v>22827</v>
      </c>
      <c r="J10" s="31">
        <v>37034</v>
      </c>
      <c r="K10" s="31">
        <v>199</v>
      </c>
      <c r="L10" s="31" t="s">
        <v>38</v>
      </c>
      <c r="M10" s="31"/>
      <c r="N10" s="33">
        <f>(Table1[[#This Row],[Likes]]+Table1[[#This Row],[Shares]]+Table1[[#This Row],[Comments]])/Table1[[#This Row],[Impressions]]</f>
        <v>0.18723441538528934</v>
      </c>
      <c r="O10" s="31">
        <f>SUM(Table1[[#This Row],[Likes]:[Comments]])</f>
        <v>4274</v>
      </c>
    </row>
    <row r="11" spans="1:16" ht="14.5">
      <c r="A11" s="31" t="s">
        <v>103</v>
      </c>
      <c r="B11" s="31" t="s">
        <v>23</v>
      </c>
      <c r="C11" s="32">
        <v>45379</v>
      </c>
      <c r="D11" s="31" t="s">
        <v>15</v>
      </c>
      <c r="E11" s="31" t="s">
        <v>30</v>
      </c>
      <c r="F11" s="31">
        <v>3276</v>
      </c>
      <c r="G11" s="31">
        <v>421</v>
      </c>
      <c r="H11" s="31">
        <v>114</v>
      </c>
      <c r="I11" s="31">
        <v>20580</v>
      </c>
      <c r="J11" s="31">
        <v>30324</v>
      </c>
      <c r="K11" s="31">
        <v>221</v>
      </c>
      <c r="L11" s="31" t="s">
        <v>41</v>
      </c>
      <c r="M11" s="31"/>
      <c r="N11" s="33">
        <f>(Table1[[#This Row],[Likes]]+Table1[[#This Row],[Shares]]+Table1[[#This Row],[Comments]])/Table1[[#This Row],[Impressions]]</f>
        <v>0.18517978620019437</v>
      </c>
      <c r="O11" s="31">
        <f>SUM(Table1[[#This Row],[Likes]:[Comments]])</f>
        <v>3811</v>
      </c>
    </row>
    <row r="12" spans="1:16" ht="14.5">
      <c r="A12" s="31" t="s">
        <v>123</v>
      </c>
      <c r="B12" s="31" t="s">
        <v>23</v>
      </c>
      <c r="C12" s="32">
        <v>45705</v>
      </c>
      <c r="D12" s="31" t="s">
        <v>24</v>
      </c>
      <c r="E12" s="31" t="s">
        <v>32</v>
      </c>
      <c r="F12" s="31">
        <v>4796</v>
      </c>
      <c r="G12" s="31">
        <v>427</v>
      </c>
      <c r="H12" s="31">
        <v>339</v>
      </c>
      <c r="I12" s="31">
        <v>30752</v>
      </c>
      <c r="J12" s="31">
        <v>33870</v>
      </c>
      <c r="K12" s="31">
        <v>298</v>
      </c>
      <c r="L12" s="31" t="s">
        <v>41</v>
      </c>
      <c r="M12" s="31" t="s">
        <v>38</v>
      </c>
      <c r="N12" s="33">
        <f>(Table1[[#This Row],[Likes]]+Table1[[#This Row],[Shares]]+Table1[[#This Row],[Comments]])/Table1[[#This Row],[Impressions]]</f>
        <v>0.18086628511966701</v>
      </c>
      <c r="O12" s="31">
        <f>SUM(Table1[[#This Row],[Likes]:[Comments]])</f>
        <v>5562</v>
      </c>
    </row>
    <row r="13" spans="1:16" ht="14.5">
      <c r="A13" s="31" t="s">
        <v>248</v>
      </c>
      <c r="B13" s="31" t="s">
        <v>14</v>
      </c>
      <c r="C13" s="32">
        <v>45832</v>
      </c>
      <c r="D13" s="31" t="s">
        <v>24</v>
      </c>
      <c r="E13" s="31" t="s">
        <v>34</v>
      </c>
      <c r="F13" s="31">
        <v>4902</v>
      </c>
      <c r="G13" s="31">
        <v>422</v>
      </c>
      <c r="H13" s="31">
        <v>376</v>
      </c>
      <c r="I13" s="31">
        <v>31674</v>
      </c>
      <c r="J13" s="31">
        <v>53225</v>
      </c>
      <c r="K13" s="31">
        <v>147</v>
      </c>
      <c r="L13" s="31" t="s">
        <v>38</v>
      </c>
      <c r="M13" s="31"/>
      <c r="N13" s="33">
        <f>(Table1[[#This Row],[Likes]]+Table1[[#This Row],[Shares]]+Table1[[#This Row],[Comments]])/Table1[[#This Row],[Impressions]]</f>
        <v>0.17995832544042431</v>
      </c>
      <c r="O13" s="31">
        <f>SUM(Table1[[#This Row],[Likes]:[Comments]])</f>
        <v>5700</v>
      </c>
    </row>
    <row r="14" spans="1:16" ht="14.5">
      <c r="A14" s="31" t="s">
        <v>285</v>
      </c>
      <c r="B14" s="31" t="s">
        <v>23</v>
      </c>
      <c r="C14" s="32">
        <v>45792</v>
      </c>
      <c r="D14" s="31" t="s">
        <v>15</v>
      </c>
      <c r="E14" s="31" t="s">
        <v>47</v>
      </c>
      <c r="F14" s="31">
        <v>4782</v>
      </c>
      <c r="G14" s="31">
        <v>210</v>
      </c>
      <c r="H14" s="31">
        <v>311</v>
      </c>
      <c r="I14" s="31">
        <v>29793</v>
      </c>
      <c r="J14" s="31">
        <v>37543</v>
      </c>
      <c r="K14" s="31">
        <v>145</v>
      </c>
      <c r="L14" s="31" t="s">
        <v>38</v>
      </c>
      <c r="M14" s="31"/>
      <c r="N14" s="33">
        <f>(Table1[[#This Row],[Likes]]+Table1[[#This Row],[Shares]]+Table1[[#This Row],[Comments]])/Table1[[#This Row],[Impressions]]</f>
        <v>0.17799483100057059</v>
      </c>
      <c r="O14" s="31">
        <f>SUM(Table1[[#This Row],[Likes]:[Comments]])</f>
        <v>5303</v>
      </c>
    </row>
    <row r="15" spans="1:16" ht="14.5">
      <c r="A15" s="31" t="s">
        <v>102</v>
      </c>
      <c r="B15" s="31" t="s">
        <v>29</v>
      </c>
      <c r="C15" s="32">
        <v>45384</v>
      </c>
      <c r="D15" s="31" t="s">
        <v>53</v>
      </c>
      <c r="E15" s="31" t="s">
        <v>47</v>
      </c>
      <c r="F15" s="31">
        <v>4563</v>
      </c>
      <c r="G15" s="31">
        <v>488</v>
      </c>
      <c r="H15" s="31">
        <v>356</v>
      </c>
      <c r="I15" s="31">
        <v>30619</v>
      </c>
      <c r="J15" s="31">
        <v>23328</v>
      </c>
      <c r="K15" s="31">
        <v>267</v>
      </c>
      <c r="L15" s="31" t="s">
        <v>20</v>
      </c>
      <c r="M15" s="31" t="s">
        <v>41</v>
      </c>
      <c r="N15" s="33">
        <f>(Table1[[#This Row],[Likes]]+Table1[[#This Row],[Shares]]+Table1[[#This Row],[Comments]])/Table1[[#This Row],[Impressions]]</f>
        <v>0.17658969920637513</v>
      </c>
      <c r="O15" s="31">
        <f>SUM(Table1[[#This Row],[Likes]:[Comments]])</f>
        <v>5407</v>
      </c>
    </row>
    <row r="16" spans="1:16" ht="14.5">
      <c r="A16" s="31" t="s">
        <v>125</v>
      </c>
      <c r="B16" s="31" t="s">
        <v>23</v>
      </c>
      <c r="C16" s="32">
        <v>45495</v>
      </c>
      <c r="D16" s="31" t="s">
        <v>24</v>
      </c>
      <c r="E16" s="31" t="s">
        <v>27</v>
      </c>
      <c r="F16" s="31">
        <v>3336</v>
      </c>
      <c r="G16" s="31">
        <v>229</v>
      </c>
      <c r="H16" s="31">
        <v>337</v>
      </c>
      <c r="I16" s="31">
        <v>22117</v>
      </c>
      <c r="J16" s="31">
        <v>26205</v>
      </c>
      <c r="K16" s="31">
        <v>160</v>
      </c>
      <c r="L16" s="31" t="s">
        <v>368</v>
      </c>
      <c r="M16" s="31" t="s">
        <v>38</v>
      </c>
      <c r="N16" s="33">
        <f>(Table1[[#This Row],[Likes]]+Table1[[#This Row],[Shares]]+Table1[[#This Row],[Comments]])/Table1[[#This Row],[Impressions]]</f>
        <v>0.17642537414658407</v>
      </c>
      <c r="O16" s="31">
        <f>SUM(Table1[[#This Row],[Likes]:[Comments]])</f>
        <v>3902</v>
      </c>
    </row>
    <row r="17" spans="1:15" ht="14.5">
      <c r="A17" s="31" t="s">
        <v>212</v>
      </c>
      <c r="B17" s="31" t="s">
        <v>23</v>
      </c>
      <c r="C17" s="32">
        <v>45606</v>
      </c>
      <c r="D17" s="31" t="s">
        <v>15</v>
      </c>
      <c r="E17" s="31" t="s">
        <v>19</v>
      </c>
      <c r="F17" s="31">
        <v>4823</v>
      </c>
      <c r="G17" s="31">
        <v>489</v>
      </c>
      <c r="H17" s="31">
        <v>302</v>
      </c>
      <c r="I17" s="31">
        <v>32470</v>
      </c>
      <c r="J17" s="31">
        <v>31861</v>
      </c>
      <c r="K17" s="31">
        <v>178</v>
      </c>
      <c r="L17" s="31" t="s">
        <v>41</v>
      </c>
      <c r="M17" s="31"/>
      <c r="N17" s="33">
        <f>(Table1[[#This Row],[Likes]]+Table1[[#This Row],[Shares]]+Table1[[#This Row],[Comments]])/Table1[[#This Row],[Impressions]]</f>
        <v>0.1728980597474592</v>
      </c>
      <c r="O17" s="31">
        <f>SUM(Table1[[#This Row],[Likes]:[Comments]])</f>
        <v>5614</v>
      </c>
    </row>
    <row r="18" spans="1:15" ht="14.5">
      <c r="A18" s="31" t="s">
        <v>274</v>
      </c>
      <c r="B18" s="31" t="s">
        <v>23</v>
      </c>
      <c r="C18" s="32">
        <v>45639</v>
      </c>
      <c r="D18" s="31" t="s">
        <v>24</v>
      </c>
      <c r="E18" s="31" t="s">
        <v>25</v>
      </c>
      <c r="F18" s="31">
        <v>4984</v>
      </c>
      <c r="G18" s="31">
        <v>300</v>
      </c>
      <c r="H18" s="31">
        <v>338</v>
      </c>
      <c r="I18" s="31">
        <v>32900</v>
      </c>
      <c r="J18" s="31">
        <v>31691</v>
      </c>
      <c r="K18" s="31">
        <v>160</v>
      </c>
      <c r="L18" s="31" t="s">
        <v>368</v>
      </c>
      <c r="M18" s="31" t="s">
        <v>38</v>
      </c>
      <c r="N18" s="33">
        <f>(Table1[[#This Row],[Likes]]+Table1[[#This Row],[Shares]]+Table1[[#This Row],[Comments]])/Table1[[#This Row],[Impressions]]</f>
        <v>0.17088145896656534</v>
      </c>
      <c r="O18" s="31">
        <f>SUM(Table1[[#This Row],[Likes]:[Comments]])</f>
        <v>5622</v>
      </c>
    </row>
    <row r="19" spans="1:15" ht="14.5">
      <c r="A19" s="31" t="s">
        <v>269</v>
      </c>
      <c r="B19" s="31" t="s">
        <v>23</v>
      </c>
      <c r="C19" s="32">
        <v>45324</v>
      </c>
      <c r="D19" s="31" t="s">
        <v>15</v>
      </c>
      <c r="E19" s="31" t="s">
        <v>45</v>
      </c>
      <c r="F19" s="31">
        <v>3818</v>
      </c>
      <c r="G19" s="31">
        <v>115</v>
      </c>
      <c r="H19" s="31">
        <v>286</v>
      </c>
      <c r="I19" s="31">
        <v>25127</v>
      </c>
      <c r="J19" s="31">
        <v>22277</v>
      </c>
      <c r="K19" s="31">
        <v>263</v>
      </c>
      <c r="L19" s="31" t="s">
        <v>38</v>
      </c>
      <c r="M19" s="31"/>
      <c r="N19" s="33">
        <f>(Table1[[#This Row],[Likes]]+Table1[[#This Row],[Shares]]+Table1[[#This Row],[Comments]])/Table1[[#This Row],[Impressions]]</f>
        <v>0.16790703227603773</v>
      </c>
      <c r="O19" s="31">
        <f>SUM(Table1[[#This Row],[Likes]:[Comments]])</f>
        <v>4219</v>
      </c>
    </row>
    <row r="20" spans="1:15" ht="14.5">
      <c r="A20" s="31" t="s">
        <v>218</v>
      </c>
      <c r="B20" s="31" t="s">
        <v>23</v>
      </c>
      <c r="C20" s="32">
        <v>45496</v>
      </c>
      <c r="D20" s="31" t="s">
        <v>15</v>
      </c>
      <c r="E20" s="31" t="s">
        <v>37</v>
      </c>
      <c r="F20" s="31">
        <v>3204</v>
      </c>
      <c r="G20" s="31">
        <v>398</v>
      </c>
      <c r="H20" s="31">
        <v>85</v>
      </c>
      <c r="I20" s="31">
        <v>22020</v>
      </c>
      <c r="J20" s="31">
        <v>58353</v>
      </c>
      <c r="K20" s="31">
        <v>286</v>
      </c>
      <c r="L20" s="31" t="s">
        <v>41</v>
      </c>
      <c r="M20" s="31"/>
      <c r="N20" s="33">
        <f>(Table1[[#This Row],[Likes]]+Table1[[#This Row],[Shares]]+Table1[[#This Row],[Comments]])/Table1[[#This Row],[Impressions]]</f>
        <v>0.16743869209809265</v>
      </c>
      <c r="O20" s="31">
        <f>SUM(Table1[[#This Row],[Likes]:[Comments]])</f>
        <v>3687</v>
      </c>
    </row>
    <row r="21" spans="1:15" ht="15.75" customHeight="1">
      <c r="A21" s="31" t="s">
        <v>146</v>
      </c>
      <c r="B21" s="31" t="s">
        <v>29</v>
      </c>
      <c r="C21" s="32">
        <v>45493</v>
      </c>
      <c r="D21" s="31" t="s">
        <v>53</v>
      </c>
      <c r="E21" s="31" t="s">
        <v>30</v>
      </c>
      <c r="F21" s="31">
        <v>4955</v>
      </c>
      <c r="G21" s="31">
        <v>299</v>
      </c>
      <c r="H21" s="31">
        <v>345</v>
      </c>
      <c r="I21" s="31">
        <v>33644</v>
      </c>
      <c r="J21" s="31">
        <v>43547</v>
      </c>
      <c r="K21" s="31">
        <v>194</v>
      </c>
      <c r="L21" s="31" t="s">
        <v>20</v>
      </c>
      <c r="M21" s="31" t="s">
        <v>41</v>
      </c>
      <c r="N21" s="33">
        <f>(Table1[[#This Row],[Likes]]+Table1[[#This Row],[Shares]]+Table1[[#This Row],[Comments]])/Table1[[#This Row],[Impressions]]</f>
        <v>0.16641897515158721</v>
      </c>
      <c r="O21" s="31">
        <f>SUM(Table1[[#This Row],[Likes]:[Comments]])</f>
        <v>5599</v>
      </c>
    </row>
    <row r="22" spans="1:15" ht="15.75" customHeight="1">
      <c r="A22" s="31" t="s">
        <v>172</v>
      </c>
      <c r="B22" s="31" t="s">
        <v>23</v>
      </c>
      <c r="C22" s="32">
        <v>45387</v>
      </c>
      <c r="D22" s="31" t="s">
        <v>24</v>
      </c>
      <c r="E22" s="31" t="s">
        <v>25</v>
      </c>
      <c r="F22" s="31">
        <v>4965</v>
      </c>
      <c r="G22" s="31">
        <v>175</v>
      </c>
      <c r="H22" s="31">
        <v>307</v>
      </c>
      <c r="I22" s="31">
        <v>32793</v>
      </c>
      <c r="J22" s="31">
        <v>43412</v>
      </c>
      <c r="K22" s="31">
        <v>296</v>
      </c>
      <c r="L22" s="31" t="s">
        <v>41</v>
      </c>
      <c r="M22" s="31" t="s">
        <v>38</v>
      </c>
      <c r="N22" s="33">
        <f>(Table1[[#This Row],[Likes]]+Table1[[#This Row],[Shares]]+Table1[[#This Row],[Comments]])/Table1[[#This Row],[Impressions]]</f>
        <v>0.16610252187966945</v>
      </c>
      <c r="O22" s="31">
        <f>SUM(Table1[[#This Row],[Likes]:[Comments]])</f>
        <v>5447</v>
      </c>
    </row>
    <row r="23" spans="1:15" ht="15.75" customHeight="1">
      <c r="A23" s="31" t="s">
        <v>281</v>
      </c>
      <c r="B23" s="31" t="s">
        <v>23</v>
      </c>
      <c r="C23" s="32">
        <v>45481</v>
      </c>
      <c r="D23" s="31" t="s">
        <v>24</v>
      </c>
      <c r="E23" s="31" t="s">
        <v>37</v>
      </c>
      <c r="F23" s="31">
        <v>2981</v>
      </c>
      <c r="G23" s="31">
        <v>258</v>
      </c>
      <c r="H23" s="31">
        <v>168</v>
      </c>
      <c r="I23" s="31">
        <v>20677</v>
      </c>
      <c r="J23" s="31">
        <v>68290</v>
      </c>
      <c r="K23" s="31">
        <v>130</v>
      </c>
      <c r="L23" s="31" t="s">
        <v>41</v>
      </c>
      <c r="M23" s="31" t="s">
        <v>38</v>
      </c>
      <c r="N23" s="33">
        <f>(Table1[[#This Row],[Likes]]+Table1[[#This Row],[Shares]]+Table1[[#This Row],[Comments]])/Table1[[#This Row],[Impressions]]</f>
        <v>0.16477245248343569</v>
      </c>
      <c r="O23" s="31">
        <f>SUM(Table1[[#This Row],[Likes]:[Comments]])</f>
        <v>3407</v>
      </c>
    </row>
    <row r="24" spans="1:15" ht="15.75" customHeight="1">
      <c r="A24" s="31" t="s">
        <v>207</v>
      </c>
      <c r="B24" s="31" t="s">
        <v>29</v>
      </c>
      <c r="C24" s="32">
        <v>45400</v>
      </c>
      <c r="D24" s="31" t="s">
        <v>15</v>
      </c>
      <c r="E24" s="31" t="s">
        <v>19</v>
      </c>
      <c r="F24" s="31">
        <v>4023</v>
      </c>
      <c r="G24" s="31">
        <v>293</v>
      </c>
      <c r="H24" s="31">
        <v>91</v>
      </c>
      <c r="I24" s="31">
        <v>26795</v>
      </c>
      <c r="J24" s="31">
        <v>28924</v>
      </c>
      <c r="K24" s="31">
        <v>278</v>
      </c>
      <c r="L24" s="31" t="s">
        <v>20</v>
      </c>
      <c r="M24" s="31" t="s">
        <v>369</v>
      </c>
      <c r="N24" s="33">
        <f>(Table1[[#This Row],[Likes]]+Table1[[#This Row],[Shares]]+Table1[[#This Row],[Comments]])/Table1[[#This Row],[Impressions]]</f>
        <v>0.16447098339242397</v>
      </c>
      <c r="O24" s="31">
        <f>SUM(Table1[[#This Row],[Likes]:[Comments]])</f>
        <v>4407</v>
      </c>
    </row>
    <row r="25" spans="1:15" ht="15.75" customHeight="1">
      <c r="A25" s="31" t="s">
        <v>119</v>
      </c>
      <c r="B25" s="31" t="s">
        <v>23</v>
      </c>
      <c r="C25" s="32">
        <v>45507</v>
      </c>
      <c r="D25" s="31" t="s">
        <v>15</v>
      </c>
      <c r="E25" s="31" t="s">
        <v>47</v>
      </c>
      <c r="F25" s="31">
        <v>4247</v>
      </c>
      <c r="G25" s="31">
        <v>390</v>
      </c>
      <c r="H25" s="31">
        <v>213</v>
      </c>
      <c r="I25" s="31">
        <v>29785</v>
      </c>
      <c r="J25" s="31">
        <v>57768</v>
      </c>
      <c r="K25" s="31">
        <v>122</v>
      </c>
      <c r="L25" s="31" t="s">
        <v>38</v>
      </c>
      <c r="M25" s="31"/>
      <c r="N25" s="33">
        <f>(Table1[[#This Row],[Likes]]+Table1[[#This Row],[Shares]]+Table1[[#This Row],[Comments]])/Table1[[#This Row],[Impressions]]</f>
        <v>0.16283364109451065</v>
      </c>
      <c r="O25" s="31">
        <f>SUM(Table1[[#This Row],[Likes]:[Comments]])</f>
        <v>4850</v>
      </c>
    </row>
    <row r="26" spans="1:15" ht="15.75" customHeight="1">
      <c r="A26" s="31" t="s">
        <v>68</v>
      </c>
      <c r="B26" s="31" t="s">
        <v>23</v>
      </c>
      <c r="C26" s="32">
        <v>45574</v>
      </c>
      <c r="D26" s="31" t="s">
        <v>24</v>
      </c>
      <c r="E26" s="31" t="s">
        <v>16</v>
      </c>
      <c r="F26" s="31">
        <v>4929</v>
      </c>
      <c r="G26" s="31">
        <v>182</v>
      </c>
      <c r="H26" s="31">
        <v>95</v>
      </c>
      <c r="I26" s="31">
        <v>32181</v>
      </c>
      <c r="J26" s="31">
        <v>31084</v>
      </c>
      <c r="K26" s="31">
        <v>289</v>
      </c>
      <c r="L26" s="31" t="s">
        <v>20</v>
      </c>
      <c r="M26" s="31" t="s">
        <v>368</v>
      </c>
      <c r="N26" s="33">
        <f>(Table1[[#This Row],[Likes]]+Table1[[#This Row],[Shares]]+Table1[[#This Row],[Comments]])/Table1[[#This Row],[Impressions]]</f>
        <v>0.16177247444144061</v>
      </c>
      <c r="O26" s="31">
        <f>SUM(Table1[[#This Row],[Likes]:[Comments]])</f>
        <v>5206</v>
      </c>
    </row>
    <row r="27" spans="1:15" ht="15.75" customHeight="1">
      <c r="A27" s="31" t="s">
        <v>202</v>
      </c>
      <c r="B27" s="31" t="s">
        <v>29</v>
      </c>
      <c r="C27" s="32">
        <v>45684</v>
      </c>
      <c r="D27" s="31" t="s">
        <v>15</v>
      </c>
      <c r="E27" s="31" t="s">
        <v>27</v>
      </c>
      <c r="F27" s="31">
        <v>4294</v>
      </c>
      <c r="G27" s="31">
        <v>423</v>
      </c>
      <c r="H27" s="31">
        <v>93</v>
      </c>
      <c r="I27" s="31">
        <v>29828</v>
      </c>
      <c r="J27" s="31">
        <v>73144</v>
      </c>
      <c r="K27" s="31">
        <v>298</v>
      </c>
      <c r="L27" s="31" t="s">
        <v>20</v>
      </c>
      <c r="M27" s="31" t="s">
        <v>369</v>
      </c>
      <c r="N27" s="33">
        <f>(Table1[[#This Row],[Likes]]+Table1[[#This Row],[Shares]]+Table1[[#This Row],[Comments]])/Table1[[#This Row],[Impressions]]</f>
        <v>0.1612578785034196</v>
      </c>
      <c r="O27" s="31">
        <f>SUM(Table1[[#This Row],[Likes]:[Comments]])</f>
        <v>4810</v>
      </c>
    </row>
    <row r="28" spans="1:15" ht="15.75" customHeight="1">
      <c r="A28" s="31" t="s">
        <v>193</v>
      </c>
      <c r="B28" s="31" t="s">
        <v>23</v>
      </c>
      <c r="C28" s="32">
        <v>45737</v>
      </c>
      <c r="D28" s="31" t="s">
        <v>24</v>
      </c>
      <c r="E28" s="31" t="s">
        <v>25</v>
      </c>
      <c r="F28" s="31">
        <v>4609</v>
      </c>
      <c r="G28" s="31">
        <v>427</v>
      </c>
      <c r="H28" s="31">
        <v>395</v>
      </c>
      <c r="I28" s="31">
        <v>33698</v>
      </c>
      <c r="J28" s="31">
        <v>29259</v>
      </c>
      <c r="K28" s="31">
        <v>216</v>
      </c>
      <c r="L28" s="31" t="s">
        <v>20</v>
      </c>
      <c r="M28" s="31" t="s">
        <v>368</v>
      </c>
      <c r="N28" s="33">
        <f>(Table1[[#This Row],[Likes]]+Table1[[#This Row],[Shares]]+Table1[[#This Row],[Comments]])/Table1[[#This Row],[Impressions]]</f>
        <v>0.16116683482699271</v>
      </c>
      <c r="O28" s="31">
        <f>SUM(Table1[[#This Row],[Likes]:[Comments]])</f>
        <v>5431</v>
      </c>
    </row>
    <row r="29" spans="1:15" ht="15.75" customHeight="1">
      <c r="A29" s="31" t="s">
        <v>106</v>
      </c>
      <c r="B29" s="31" t="s">
        <v>23</v>
      </c>
      <c r="C29" s="32">
        <v>45302</v>
      </c>
      <c r="D29" s="31" t="s">
        <v>15</v>
      </c>
      <c r="E29" s="31" t="s">
        <v>32</v>
      </c>
      <c r="F29" s="31">
        <v>4218</v>
      </c>
      <c r="G29" s="31">
        <v>247</v>
      </c>
      <c r="H29" s="31">
        <v>183</v>
      </c>
      <c r="I29" s="31">
        <v>28914</v>
      </c>
      <c r="J29" s="31">
        <v>18310</v>
      </c>
      <c r="K29" s="31">
        <v>135</v>
      </c>
      <c r="L29" s="31" t="s">
        <v>41</v>
      </c>
      <c r="M29" s="31"/>
      <c r="N29" s="33">
        <f>(Table1[[#This Row],[Likes]]+Table1[[#This Row],[Shares]]+Table1[[#This Row],[Comments]])/Table1[[#This Row],[Impressions]]</f>
        <v>0.1607525766064882</v>
      </c>
      <c r="O29" s="31">
        <f>SUM(Table1[[#This Row],[Likes]:[Comments]])</f>
        <v>4648</v>
      </c>
    </row>
    <row r="30" spans="1:15" ht="15.75" customHeight="1">
      <c r="A30" s="31" t="s">
        <v>145</v>
      </c>
      <c r="B30" s="31" t="s">
        <v>14</v>
      </c>
      <c r="C30" s="32">
        <v>45469</v>
      </c>
      <c r="D30" s="31" t="s">
        <v>15</v>
      </c>
      <c r="E30" s="31" t="s">
        <v>25</v>
      </c>
      <c r="F30" s="31">
        <v>3253</v>
      </c>
      <c r="G30" s="31">
        <v>483</v>
      </c>
      <c r="H30" s="31">
        <v>336</v>
      </c>
      <c r="I30" s="31">
        <v>25397</v>
      </c>
      <c r="J30" s="31">
        <v>51485</v>
      </c>
      <c r="K30" s="31">
        <v>131</v>
      </c>
      <c r="L30" s="31" t="s">
        <v>20</v>
      </c>
      <c r="M30" s="31"/>
      <c r="N30" s="33">
        <f>(Table1[[#This Row],[Likes]]+Table1[[#This Row],[Shares]]+Table1[[#This Row],[Comments]])/Table1[[#This Row],[Impressions]]</f>
        <v>0.16033389770445328</v>
      </c>
      <c r="O30" s="31">
        <f>SUM(Table1[[#This Row],[Likes]:[Comments]])</f>
        <v>4072</v>
      </c>
    </row>
    <row r="31" spans="1:15" ht="15.75" customHeight="1">
      <c r="A31" s="31" t="s">
        <v>83</v>
      </c>
      <c r="B31" s="31" t="s">
        <v>14</v>
      </c>
      <c r="C31" s="32">
        <v>45693</v>
      </c>
      <c r="D31" s="31" t="s">
        <v>24</v>
      </c>
      <c r="E31" s="31" t="s">
        <v>30</v>
      </c>
      <c r="F31" s="31">
        <v>3074</v>
      </c>
      <c r="G31" s="31">
        <v>371</v>
      </c>
      <c r="H31" s="31">
        <v>348</v>
      </c>
      <c r="I31" s="31">
        <v>24104</v>
      </c>
      <c r="J31" s="31">
        <v>57803</v>
      </c>
      <c r="K31" s="31">
        <v>213</v>
      </c>
      <c r="L31" s="31" t="s">
        <v>38</v>
      </c>
      <c r="M31" s="31"/>
      <c r="N31" s="33">
        <f>(Table1[[#This Row],[Likes]]+Table1[[#This Row],[Shares]]+Table1[[#This Row],[Comments]])/Table1[[#This Row],[Impressions]]</f>
        <v>0.15735977431131762</v>
      </c>
      <c r="O31" s="31">
        <f>SUM(Table1[[#This Row],[Likes]:[Comments]])</f>
        <v>3793</v>
      </c>
    </row>
    <row r="32" spans="1:15" ht="15.75" customHeight="1">
      <c r="A32" s="31" t="s">
        <v>325</v>
      </c>
      <c r="B32" s="31" t="s">
        <v>23</v>
      </c>
      <c r="C32" s="32">
        <v>45517</v>
      </c>
      <c r="D32" s="31" t="s">
        <v>15</v>
      </c>
      <c r="E32" s="31" t="s">
        <v>19</v>
      </c>
      <c r="F32" s="31">
        <v>3418</v>
      </c>
      <c r="G32" s="31">
        <v>107</v>
      </c>
      <c r="H32" s="31">
        <v>221</v>
      </c>
      <c r="I32" s="31">
        <v>23927</v>
      </c>
      <c r="J32" s="31">
        <v>26182</v>
      </c>
      <c r="K32" s="31">
        <v>155</v>
      </c>
      <c r="L32" s="31" t="s">
        <v>41</v>
      </c>
      <c r="M32" s="31"/>
      <c r="N32" s="33">
        <f>(Table1[[#This Row],[Likes]]+Table1[[#This Row],[Shares]]+Table1[[#This Row],[Comments]])/Table1[[#This Row],[Impressions]]</f>
        <v>0.1565595352530614</v>
      </c>
      <c r="O32" s="31">
        <f>SUM(Table1[[#This Row],[Likes]:[Comments]])</f>
        <v>3746</v>
      </c>
    </row>
    <row r="33" spans="1:15" ht="15.75" customHeight="1">
      <c r="A33" s="31" t="s">
        <v>196</v>
      </c>
      <c r="B33" s="31" t="s">
        <v>14</v>
      </c>
      <c r="C33" s="32">
        <v>45803</v>
      </c>
      <c r="D33" s="31" t="s">
        <v>15</v>
      </c>
      <c r="E33" s="31" t="s">
        <v>16</v>
      </c>
      <c r="F33" s="31">
        <v>3086</v>
      </c>
      <c r="G33" s="31">
        <v>148</v>
      </c>
      <c r="H33" s="31">
        <v>310</v>
      </c>
      <c r="I33" s="31">
        <v>22824</v>
      </c>
      <c r="J33" s="31">
        <v>58103</v>
      </c>
      <c r="K33" s="31">
        <v>275</v>
      </c>
      <c r="L33" s="31" t="s">
        <v>20</v>
      </c>
      <c r="M33" s="31"/>
      <c r="N33" s="33">
        <f>(Table1[[#This Row],[Likes]]+Table1[[#This Row],[Shares]]+Table1[[#This Row],[Comments]])/Table1[[#This Row],[Impressions]]</f>
        <v>0.1552751489660007</v>
      </c>
      <c r="O33" s="31">
        <f>SUM(Table1[[#This Row],[Likes]:[Comments]])</f>
        <v>3544</v>
      </c>
    </row>
    <row r="34" spans="1:15" ht="15.75" customHeight="1">
      <c r="A34" s="31" t="s">
        <v>205</v>
      </c>
      <c r="B34" s="31" t="s">
        <v>23</v>
      </c>
      <c r="C34" s="32">
        <v>45619</v>
      </c>
      <c r="D34" s="31" t="s">
        <v>15</v>
      </c>
      <c r="E34" s="31" t="s">
        <v>25</v>
      </c>
      <c r="F34" s="31">
        <v>4318</v>
      </c>
      <c r="G34" s="31">
        <v>371</v>
      </c>
      <c r="H34" s="31">
        <v>329</v>
      </c>
      <c r="I34" s="31">
        <v>32347</v>
      </c>
      <c r="J34" s="31">
        <v>68956</v>
      </c>
      <c r="K34" s="31">
        <v>259</v>
      </c>
      <c r="L34" s="31" t="s">
        <v>41</v>
      </c>
      <c r="M34" s="31"/>
      <c r="N34" s="33">
        <f>(Table1[[#This Row],[Likes]]+Table1[[#This Row],[Shares]]+Table1[[#This Row],[Comments]])/Table1[[#This Row],[Impressions]]</f>
        <v>0.15513030574705536</v>
      </c>
      <c r="O34" s="31">
        <f>SUM(Table1[[#This Row],[Likes]:[Comments]])</f>
        <v>5018</v>
      </c>
    </row>
    <row r="35" spans="1:15" ht="15.75" customHeight="1">
      <c r="A35" s="31" t="s">
        <v>289</v>
      </c>
      <c r="B35" s="31" t="s">
        <v>23</v>
      </c>
      <c r="C35" s="32">
        <v>45691</v>
      </c>
      <c r="D35" s="31" t="s">
        <v>15</v>
      </c>
      <c r="E35" s="31" t="s">
        <v>32</v>
      </c>
      <c r="F35" s="31">
        <v>4995</v>
      </c>
      <c r="G35" s="31">
        <v>231</v>
      </c>
      <c r="H35" s="31">
        <v>94</v>
      </c>
      <c r="I35" s="31">
        <v>34431</v>
      </c>
      <c r="J35" s="31">
        <v>32560</v>
      </c>
      <c r="K35" s="31">
        <v>262</v>
      </c>
      <c r="L35" s="31" t="s">
        <v>38</v>
      </c>
      <c r="M35" s="31"/>
      <c r="N35" s="33">
        <f>(Table1[[#This Row],[Likes]]+Table1[[#This Row],[Shares]]+Table1[[#This Row],[Comments]])/Table1[[#This Row],[Impressions]]</f>
        <v>0.15451192239551567</v>
      </c>
      <c r="O35" s="31">
        <f>SUM(Table1[[#This Row],[Likes]:[Comments]])</f>
        <v>5320</v>
      </c>
    </row>
    <row r="36" spans="1:15" ht="15.75" customHeight="1">
      <c r="A36" s="31" t="s">
        <v>55</v>
      </c>
      <c r="B36" s="31" t="s">
        <v>14</v>
      </c>
      <c r="C36" s="32">
        <v>45478</v>
      </c>
      <c r="D36" s="31" t="s">
        <v>15</v>
      </c>
      <c r="E36" s="31" t="s">
        <v>47</v>
      </c>
      <c r="F36" s="31">
        <v>3753</v>
      </c>
      <c r="G36" s="31">
        <v>411</v>
      </c>
      <c r="H36" s="31">
        <v>308</v>
      </c>
      <c r="I36" s="31">
        <v>29138</v>
      </c>
      <c r="J36" s="31">
        <v>27678</v>
      </c>
      <c r="K36" s="31">
        <v>90</v>
      </c>
      <c r="L36" s="31" t="s">
        <v>20</v>
      </c>
      <c r="M36" s="31"/>
      <c r="N36" s="33">
        <f>(Table1[[#This Row],[Likes]]+Table1[[#This Row],[Shares]]+Table1[[#This Row],[Comments]])/Table1[[#This Row],[Impressions]]</f>
        <v>0.15347655981879332</v>
      </c>
      <c r="O36" s="31">
        <f>SUM(Table1[[#This Row],[Likes]:[Comments]])</f>
        <v>4472</v>
      </c>
    </row>
    <row r="37" spans="1:15" ht="15.75" customHeight="1">
      <c r="A37" s="31" t="s">
        <v>87</v>
      </c>
      <c r="B37" s="31" t="s">
        <v>23</v>
      </c>
      <c r="C37" s="32">
        <v>45539</v>
      </c>
      <c r="D37" s="31" t="s">
        <v>24</v>
      </c>
      <c r="E37" s="31" t="s">
        <v>25</v>
      </c>
      <c r="F37" s="31">
        <v>2613</v>
      </c>
      <c r="G37" s="31">
        <v>455</v>
      </c>
      <c r="H37" s="31">
        <v>228</v>
      </c>
      <c r="I37" s="31">
        <v>21645</v>
      </c>
      <c r="J37" s="31">
        <v>61334</v>
      </c>
      <c r="K37" s="31">
        <v>261</v>
      </c>
      <c r="L37" s="31" t="s">
        <v>20</v>
      </c>
      <c r="M37" s="31" t="s">
        <v>368</v>
      </c>
      <c r="N37" s="33">
        <f>(Table1[[#This Row],[Likes]]+Table1[[#This Row],[Shares]]+Table1[[#This Row],[Comments]])/Table1[[#This Row],[Impressions]]</f>
        <v>0.15227535227535227</v>
      </c>
      <c r="O37" s="31">
        <f>SUM(Table1[[#This Row],[Likes]:[Comments]])</f>
        <v>3296</v>
      </c>
    </row>
    <row r="38" spans="1:15" ht="15.75" customHeight="1">
      <c r="A38" s="31" t="s">
        <v>306</v>
      </c>
      <c r="B38" s="31" t="s">
        <v>23</v>
      </c>
      <c r="C38" s="32">
        <v>45693</v>
      </c>
      <c r="D38" s="31" t="s">
        <v>24</v>
      </c>
      <c r="E38" s="31" t="s">
        <v>16</v>
      </c>
      <c r="F38" s="31">
        <v>3029</v>
      </c>
      <c r="G38" s="31">
        <v>440</v>
      </c>
      <c r="H38" s="31">
        <v>66</v>
      </c>
      <c r="I38" s="31">
        <v>23815</v>
      </c>
      <c r="J38" s="31">
        <v>47895</v>
      </c>
      <c r="K38" s="31">
        <v>210</v>
      </c>
      <c r="L38" s="31" t="s">
        <v>20</v>
      </c>
      <c r="M38" s="31" t="s">
        <v>368</v>
      </c>
      <c r="N38" s="33">
        <f>(Table1[[#This Row],[Likes]]+Table1[[#This Row],[Shares]]+Table1[[#This Row],[Comments]])/Table1[[#This Row],[Impressions]]</f>
        <v>0.14843585975225698</v>
      </c>
      <c r="O38" s="31">
        <f>SUM(Table1[[#This Row],[Likes]:[Comments]])</f>
        <v>3535</v>
      </c>
    </row>
    <row r="39" spans="1:15" ht="15.75" customHeight="1">
      <c r="A39" s="31" t="s">
        <v>118</v>
      </c>
      <c r="B39" s="31" t="s">
        <v>23</v>
      </c>
      <c r="C39" s="32">
        <v>45660</v>
      </c>
      <c r="D39" s="31" t="s">
        <v>24</v>
      </c>
      <c r="E39" s="31" t="s">
        <v>34</v>
      </c>
      <c r="F39" s="31">
        <v>4845</v>
      </c>
      <c r="G39" s="31">
        <v>158</v>
      </c>
      <c r="H39" s="31">
        <v>84</v>
      </c>
      <c r="I39" s="31">
        <v>34578</v>
      </c>
      <c r="J39" s="31">
        <v>51480</v>
      </c>
      <c r="K39" s="31">
        <v>180</v>
      </c>
      <c r="L39" s="31" t="s">
        <v>41</v>
      </c>
      <c r="M39" s="31" t="s">
        <v>38</v>
      </c>
      <c r="N39" s="33">
        <f>(Table1[[#This Row],[Likes]]+Table1[[#This Row],[Shares]]+Table1[[#This Row],[Comments]])/Table1[[#This Row],[Impressions]]</f>
        <v>0.1471166637746544</v>
      </c>
      <c r="O39" s="31">
        <f>SUM(Table1[[#This Row],[Likes]:[Comments]])</f>
        <v>5087</v>
      </c>
    </row>
    <row r="40" spans="1:15" ht="15.75" customHeight="1">
      <c r="A40" s="31" t="s">
        <v>284</v>
      </c>
      <c r="B40" s="31" t="s">
        <v>14</v>
      </c>
      <c r="C40" s="32">
        <v>45357</v>
      </c>
      <c r="D40" s="31" t="s">
        <v>15</v>
      </c>
      <c r="E40" s="31" t="s">
        <v>32</v>
      </c>
      <c r="F40" s="31">
        <v>3529</v>
      </c>
      <c r="G40" s="31">
        <v>263</v>
      </c>
      <c r="H40" s="31">
        <v>107</v>
      </c>
      <c r="I40" s="31">
        <v>26570</v>
      </c>
      <c r="J40" s="31">
        <v>19367</v>
      </c>
      <c r="K40" s="31">
        <v>96</v>
      </c>
      <c r="L40" s="31" t="s">
        <v>20</v>
      </c>
      <c r="M40" s="31"/>
      <c r="N40" s="33">
        <f>(Table1[[#This Row],[Likes]]+Table1[[#This Row],[Shares]]+Table1[[#This Row],[Comments]])/Table1[[#This Row],[Impressions]]</f>
        <v>0.14674444862627023</v>
      </c>
      <c r="O40" s="31">
        <f>SUM(Table1[[#This Row],[Likes]:[Comments]])</f>
        <v>3899</v>
      </c>
    </row>
    <row r="41" spans="1:15" ht="15.75" customHeight="1">
      <c r="A41" s="31" t="s">
        <v>81</v>
      </c>
      <c r="B41" s="31" t="s">
        <v>14</v>
      </c>
      <c r="C41" s="32">
        <v>45334</v>
      </c>
      <c r="D41" s="31" t="s">
        <v>15</v>
      </c>
      <c r="E41" s="31" t="s">
        <v>19</v>
      </c>
      <c r="F41" s="31">
        <v>2923</v>
      </c>
      <c r="G41" s="31">
        <v>330</v>
      </c>
      <c r="H41" s="31">
        <v>250</v>
      </c>
      <c r="I41" s="31">
        <v>23993</v>
      </c>
      <c r="J41" s="31">
        <v>74590</v>
      </c>
      <c r="K41" s="31">
        <v>92</v>
      </c>
      <c r="L41" s="31" t="s">
        <v>20</v>
      </c>
      <c r="M41" s="31"/>
      <c r="N41" s="33">
        <f>(Table1[[#This Row],[Likes]]+Table1[[#This Row],[Shares]]+Table1[[#This Row],[Comments]])/Table1[[#This Row],[Impressions]]</f>
        <v>0.14600091693410577</v>
      </c>
      <c r="O41" s="31">
        <f>SUM(Table1[[#This Row],[Likes]:[Comments]])</f>
        <v>3503</v>
      </c>
    </row>
    <row r="42" spans="1:15" ht="15.75" customHeight="1">
      <c r="A42" s="31" t="s">
        <v>137</v>
      </c>
      <c r="B42" s="31" t="s">
        <v>23</v>
      </c>
      <c r="C42" s="32">
        <v>45591</v>
      </c>
      <c r="D42" s="31" t="s">
        <v>15</v>
      </c>
      <c r="E42" s="31" t="s">
        <v>16</v>
      </c>
      <c r="F42" s="31">
        <v>3036</v>
      </c>
      <c r="G42" s="31">
        <v>293</v>
      </c>
      <c r="H42" s="31">
        <v>115</v>
      </c>
      <c r="I42" s="31">
        <v>23776</v>
      </c>
      <c r="J42" s="31">
        <v>46386</v>
      </c>
      <c r="K42" s="31">
        <v>282</v>
      </c>
      <c r="L42" s="31" t="s">
        <v>38</v>
      </c>
      <c r="M42" s="31"/>
      <c r="N42" s="33">
        <f>(Table1[[#This Row],[Likes]]+Table1[[#This Row],[Shares]]+Table1[[#This Row],[Comments]])/Table1[[#This Row],[Impressions]]</f>
        <v>0.14485195154777927</v>
      </c>
      <c r="O42" s="31">
        <f>SUM(Table1[[#This Row],[Likes]:[Comments]])</f>
        <v>3444</v>
      </c>
    </row>
    <row r="43" spans="1:15" ht="15.75" customHeight="1">
      <c r="A43" s="31" t="s">
        <v>75</v>
      </c>
      <c r="B43" s="31" t="s">
        <v>23</v>
      </c>
      <c r="C43" s="32">
        <v>45818</v>
      </c>
      <c r="D43" s="31" t="s">
        <v>15</v>
      </c>
      <c r="E43" s="31" t="s">
        <v>19</v>
      </c>
      <c r="F43" s="31">
        <v>3615</v>
      </c>
      <c r="G43" s="31">
        <v>192</v>
      </c>
      <c r="H43" s="31">
        <v>162</v>
      </c>
      <c r="I43" s="31">
        <v>27492</v>
      </c>
      <c r="J43" s="31">
        <v>35341</v>
      </c>
      <c r="K43" s="31">
        <v>125</v>
      </c>
      <c r="L43" s="31" t="s">
        <v>38</v>
      </c>
      <c r="M43" s="31"/>
      <c r="N43" s="33">
        <f>(Table1[[#This Row],[Likes]]+Table1[[#This Row],[Shares]]+Table1[[#This Row],[Comments]])/Table1[[#This Row],[Impressions]]</f>
        <v>0.14436927106067218</v>
      </c>
      <c r="O43" s="31">
        <f>SUM(Table1[[#This Row],[Likes]:[Comments]])</f>
        <v>3969</v>
      </c>
    </row>
    <row r="44" spans="1:15" ht="15.75" customHeight="1">
      <c r="A44" s="31" t="s">
        <v>129</v>
      </c>
      <c r="B44" s="31" t="s">
        <v>23</v>
      </c>
      <c r="C44" s="32">
        <v>45609</v>
      </c>
      <c r="D44" s="31" t="s">
        <v>24</v>
      </c>
      <c r="E44" s="31" t="s">
        <v>37</v>
      </c>
      <c r="F44" s="31">
        <v>4628</v>
      </c>
      <c r="G44" s="31">
        <v>257</v>
      </c>
      <c r="H44" s="31">
        <v>397</v>
      </c>
      <c r="I44" s="31">
        <v>36686</v>
      </c>
      <c r="J44" s="31">
        <v>54683</v>
      </c>
      <c r="K44" s="31">
        <v>98</v>
      </c>
      <c r="L44" s="31" t="s">
        <v>41</v>
      </c>
      <c r="M44" s="31" t="s">
        <v>38</v>
      </c>
      <c r="N44" s="33">
        <f>(Table1[[#This Row],[Likes]]+Table1[[#This Row],[Shares]]+Table1[[#This Row],[Comments]])/Table1[[#This Row],[Impressions]]</f>
        <v>0.1439786294499264</v>
      </c>
      <c r="O44" s="31">
        <f>SUM(Table1[[#This Row],[Likes]:[Comments]])</f>
        <v>5282</v>
      </c>
    </row>
    <row r="45" spans="1:15" ht="15.75" customHeight="1">
      <c r="A45" s="31" t="s">
        <v>114</v>
      </c>
      <c r="B45" s="31" t="s">
        <v>29</v>
      </c>
      <c r="C45" s="32">
        <v>45304</v>
      </c>
      <c r="D45" s="31" t="s">
        <v>53</v>
      </c>
      <c r="E45" s="31" t="s">
        <v>25</v>
      </c>
      <c r="F45" s="31">
        <v>4781</v>
      </c>
      <c r="G45" s="31">
        <v>191</v>
      </c>
      <c r="H45" s="31">
        <v>122</v>
      </c>
      <c r="I45" s="31">
        <v>35535</v>
      </c>
      <c r="J45" s="31">
        <v>50777</v>
      </c>
      <c r="K45" s="31">
        <v>128</v>
      </c>
      <c r="L45" s="31" t="s">
        <v>20</v>
      </c>
      <c r="M45" s="31" t="s">
        <v>41</v>
      </c>
      <c r="N45" s="33">
        <f>(Table1[[#This Row],[Likes]]+Table1[[#This Row],[Shares]]+Table1[[#This Row],[Comments]])/Table1[[#This Row],[Impressions]]</f>
        <v>0.14335162515829464</v>
      </c>
      <c r="O45" s="31">
        <f>SUM(Table1[[#This Row],[Likes]:[Comments]])</f>
        <v>5094</v>
      </c>
    </row>
    <row r="46" spans="1:15" ht="15.75" customHeight="1">
      <c r="A46" s="31" t="s">
        <v>130</v>
      </c>
      <c r="B46" s="31" t="s">
        <v>14</v>
      </c>
      <c r="C46" s="32">
        <v>45373</v>
      </c>
      <c r="D46" s="31" t="s">
        <v>24</v>
      </c>
      <c r="E46" s="31" t="s">
        <v>16</v>
      </c>
      <c r="F46" s="31">
        <v>2319</v>
      </c>
      <c r="G46" s="31">
        <v>484</v>
      </c>
      <c r="H46" s="31">
        <v>193</v>
      </c>
      <c r="I46" s="31">
        <v>21202</v>
      </c>
      <c r="J46" s="31">
        <v>18091</v>
      </c>
      <c r="K46" s="31">
        <v>241</v>
      </c>
      <c r="L46" s="31" t="s">
        <v>38</v>
      </c>
      <c r="M46" s="31"/>
      <c r="N46" s="33">
        <f>(Table1[[#This Row],[Likes]]+Table1[[#This Row],[Shares]]+Table1[[#This Row],[Comments]])/Table1[[#This Row],[Impressions]]</f>
        <v>0.14130742382794076</v>
      </c>
      <c r="O46" s="31">
        <f>SUM(Table1[[#This Row],[Likes]:[Comments]])</f>
        <v>2996</v>
      </c>
    </row>
    <row r="47" spans="1:15" ht="15.75" customHeight="1">
      <c r="A47" s="31" t="s">
        <v>50</v>
      </c>
      <c r="B47" s="31" t="s">
        <v>14</v>
      </c>
      <c r="C47" s="32">
        <v>45325</v>
      </c>
      <c r="D47" s="31" t="s">
        <v>24</v>
      </c>
      <c r="E47" s="31" t="s">
        <v>30</v>
      </c>
      <c r="F47" s="31">
        <v>4281</v>
      </c>
      <c r="G47" s="31">
        <v>101</v>
      </c>
      <c r="H47" s="31">
        <v>163</v>
      </c>
      <c r="I47" s="31">
        <v>32278</v>
      </c>
      <c r="J47" s="31">
        <v>53382</v>
      </c>
      <c r="K47" s="31">
        <v>235</v>
      </c>
      <c r="L47" s="31" t="s">
        <v>38</v>
      </c>
      <c r="M47" s="31"/>
      <c r="N47" s="33">
        <f>(Table1[[#This Row],[Likes]]+Table1[[#This Row],[Shares]]+Table1[[#This Row],[Comments]])/Table1[[#This Row],[Impressions]]</f>
        <v>0.1408079806679472</v>
      </c>
      <c r="O47" s="31">
        <f>SUM(Table1[[#This Row],[Likes]:[Comments]])</f>
        <v>4545</v>
      </c>
    </row>
    <row r="48" spans="1:15" ht="15.75" customHeight="1">
      <c r="A48" s="31" t="s">
        <v>234</v>
      </c>
      <c r="B48" s="31" t="s">
        <v>23</v>
      </c>
      <c r="C48" s="32">
        <v>45484</v>
      </c>
      <c r="D48" s="31" t="s">
        <v>24</v>
      </c>
      <c r="E48" s="31" t="s">
        <v>34</v>
      </c>
      <c r="F48" s="31">
        <v>4247</v>
      </c>
      <c r="G48" s="31">
        <v>179</v>
      </c>
      <c r="H48" s="31">
        <v>175</v>
      </c>
      <c r="I48" s="31">
        <v>32991</v>
      </c>
      <c r="J48" s="31">
        <v>70120</v>
      </c>
      <c r="K48" s="31">
        <v>276</v>
      </c>
      <c r="L48" s="31" t="s">
        <v>41</v>
      </c>
      <c r="M48" s="31" t="s">
        <v>38</v>
      </c>
      <c r="N48" s="33">
        <f>(Table1[[#This Row],[Likes]]+Table1[[#This Row],[Shares]]+Table1[[#This Row],[Comments]])/Table1[[#This Row],[Impressions]]</f>
        <v>0.13946227759085811</v>
      </c>
      <c r="O48" s="31">
        <f>SUM(Table1[[#This Row],[Likes]:[Comments]])</f>
        <v>4601</v>
      </c>
    </row>
    <row r="49" spans="1:15" ht="15.75" customHeight="1">
      <c r="A49" s="31" t="s">
        <v>91</v>
      </c>
      <c r="B49" s="31" t="s">
        <v>14</v>
      </c>
      <c r="C49" s="32">
        <v>45707</v>
      </c>
      <c r="D49" s="31" t="s">
        <v>24</v>
      </c>
      <c r="E49" s="31" t="s">
        <v>45</v>
      </c>
      <c r="F49" s="31">
        <v>2422</v>
      </c>
      <c r="G49" s="31">
        <v>455</v>
      </c>
      <c r="H49" s="31">
        <v>376</v>
      </c>
      <c r="I49" s="31">
        <v>23428</v>
      </c>
      <c r="J49" s="31">
        <v>46775</v>
      </c>
      <c r="K49" s="31">
        <v>259</v>
      </c>
      <c r="L49" s="31" t="s">
        <v>38</v>
      </c>
      <c r="M49" s="31"/>
      <c r="N49" s="33">
        <f>(Table1[[#This Row],[Likes]]+Table1[[#This Row],[Shares]]+Table1[[#This Row],[Comments]])/Table1[[#This Row],[Impressions]]</f>
        <v>0.13885094758408742</v>
      </c>
      <c r="O49" s="31">
        <f>SUM(Table1[[#This Row],[Likes]:[Comments]])</f>
        <v>3253</v>
      </c>
    </row>
    <row r="50" spans="1:15" ht="15.75" customHeight="1">
      <c r="A50" s="31" t="s">
        <v>144</v>
      </c>
      <c r="B50" s="31" t="s">
        <v>14</v>
      </c>
      <c r="C50" s="32">
        <v>45617</v>
      </c>
      <c r="D50" s="31" t="s">
        <v>15</v>
      </c>
      <c r="E50" s="31" t="s">
        <v>30</v>
      </c>
      <c r="F50" s="31">
        <v>4581</v>
      </c>
      <c r="G50" s="31">
        <v>181</v>
      </c>
      <c r="H50" s="31">
        <v>112</v>
      </c>
      <c r="I50" s="31">
        <v>35221</v>
      </c>
      <c r="J50" s="31">
        <v>28797</v>
      </c>
      <c r="K50" s="31">
        <v>164</v>
      </c>
      <c r="L50" s="31" t="s">
        <v>41</v>
      </c>
      <c r="M50" s="31" t="s">
        <v>38</v>
      </c>
      <c r="N50" s="33">
        <f>(Table1[[#This Row],[Likes]]+Table1[[#This Row],[Shares]]+Table1[[#This Row],[Comments]])/Table1[[#This Row],[Impressions]]</f>
        <v>0.13838335084182732</v>
      </c>
      <c r="O50" s="31">
        <f>SUM(Table1[[#This Row],[Likes]:[Comments]])</f>
        <v>4874</v>
      </c>
    </row>
    <row r="51" spans="1:15" ht="15.75" customHeight="1">
      <c r="A51" s="31" t="s">
        <v>131</v>
      </c>
      <c r="B51" s="31" t="s">
        <v>23</v>
      </c>
      <c r="C51" s="32">
        <v>45367</v>
      </c>
      <c r="D51" s="31" t="s">
        <v>24</v>
      </c>
      <c r="E51" s="31" t="s">
        <v>27</v>
      </c>
      <c r="F51" s="31">
        <v>2895</v>
      </c>
      <c r="G51" s="31">
        <v>292</v>
      </c>
      <c r="H51" s="31">
        <v>90</v>
      </c>
      <c r="I51" s="31">
        <v>24223</v>
      </c>
      <c r="J51" s="31">
        <v>54626</v>
      </c>
      <c r="K51" s="31">
        <v>114</v>
      </c>
      <c r="L51" s="31" t="s">
        <v>41</v>
      </c>
      <c r="M51" s="31" t="s">
        <v>38</v>
      </c>
      <c r="N51" s="33">
        <f>(Table1[[#This Row],[Likes]]+Table1[[#This Row],[Shares]]+Table1[[#This Row],[Comments]])/Table1[[#This Row],[Impressions]]</f>
        <v>0.13528464682326713</v>
      </c>
      <c r="O51" s="31">
        <f>SUM(Table1[[#This Row],[Likes]:[Comments]])</f>
        <v>3277</v>
      </c>
    </row>
    <row r="52" spans="1:15" ht="15.75" customHeight="1">
      <c r="A52" s="31" t="s">
        <v>113</v>
      </c>
      <c r="B52" s="31" t="s">
        <v>23</v>
      </c>
      <c r="C52" s="32">
        <v>45678</v>
      </c>
      <c r="D52" s="31" t="s">
        <v>24</v>
      </c>
      <c r="E52" s="31" t="s">
        <v>16</v>
      </c>
      <c r="F52" s="31">
        <v>2494</v>
      </c>
      <c r="G52" s="31">
        <v>494</v>
      </c>
      <c r="H52" s="31">
        <v>55</v>
      </c>
      <c r="I52" s="31">
        <v>22580</v>
      </c>
      <c r="J52" s="31">
        <v>22214</v>
      </c>
      <c r="K52" s="31">
        <v>109</v>
      </c>
      <c r="L52" s="31" t="s">
        <v>368</v>
      </c>
      <c r="M52" s="31" t="s">
        <v>38</v>
      </c>
      <c r="N52" s="33">
        <f>(Table1[[#This Row],[Likes]]+Table1[[#This Row],[Shares]]+Table1[[#This Row],[Comments]])/Table1[[#This Row],[Impressions]]</f>
        <v>0.13476527900797167</v>
      </c>
      <c r="O52" s="31">
        <f>SUM(Table1[[#This Row],[Likes]:[Comments]])</f>
        <v>3043</v>
      </c>
    </row>
    <row r="53" spans="1:15" ht="15.75" customHeight="1">
      <c r="A53" s="31" t="s">
        <v>277</v>
      </c>
      <c r="B53" s="31" t="s">
        <v>23</v>
      </c>
      <c r="C53" s="32">
        <v>45759</v>
      </c>
      <c r="D53" s="31" t="s">
        <v>24</v>
      </c>
      <c r="E53" s="31" t="s">
        <v>45</v>
      </c>
      <c r="F53" s="31">
        <v>4315</v>
      </c>
      <c r="G53" s="31">
        <v>208</v>
      </c>
      <c r="H53" s="31">
        <v>273</v>
      </c>
      <c r="I53" s="31">
        <v>35780</v>
      </c>
      <c r="J53" s="31">
        <v>44349</v>
      </c>
      <c r="K53" s="31">
        <v>133</v>
      </c>
      <c r="L53" s="31" t="s">
        <v>20</v>
      </c>
      <c r="M53" s="31" t="s">
        <v>368</v>
      </c>
      <c r="N53" s="33">
        <f>(Table1[[#This Row],[Likes]]+Table1[[#This Row],[Shares]]+Table1[[#This Row],[Comments]])/Table1[[#This Row],[Impressions]]</f>
        <v>0.13404136389044158</v>
      </c>
      <c r="O53" s="31">
        <f>SUM(Table1[[#This Row],[Likes]:[Comments]])</f>
        <v>4796</v>
      </c>
    </row>
    <row r="54" spans="1:15" ht="15.75" customHeight="1">
      <c r="A54" s="31" t="s">
        <v>13</v>
      </c>
      <c r="B54" s="31" t="s">
        <v>14</v>
      </c>
      <c r="C54" s="32">
        <v>45781</v>
      </c>
      <c r="D54" s="31" t="s">
        <v>15</v>
      </c>
      <c r="E54" s="31" t="s">
        <v>16</v>
      </c>
      <c r="F54" s="31">
        <v>2414</v>
      </c>
      <c r="G54" s="31">
        <v>245</v>
      </c>
      <c r="H54" s="31">
        <v>137</v>
      </c>
      <c r="I54" s="31">
        <v>21181</v>
      </c>
      <c r="J54" s="31">
        <v>45292</v>
      </c>
      <c r="K54" s="31">
        <v>133</v>
      </c>
      <c r="L54" s="31" t="s">
        <v>41</v>
      </c>
      <c r="M54" s="31" t="s">
        <v>38</v>
      </c>
      <c r="N54" s="33">
        <f>(Table1[[#This Row],[Likes]]+Table1[[#This Row],[Shares]]+Table1[[#This Row],[Comments]])/Table1[[#This Row],[Impressions]]</f>
        <v>0.13200509890939993</v>
      </c>
      <c r="O54" s="31">
        <f>SUM(Table1[[#This Row],[Likes]:[Comments]])</f>
        <v>2796</v>
      </c>
    </row>
    <row r="55" spans="1:15" ht="15.75" customHeight="1">
      <c r="A55" s="31" t="s">
        <v>28</v>
      </c>
      <c r="B55" s="31" t="s">
        <v>29</v>
      </c>
      <c r="C55" s="32">
        <v>45388</v>
      </c>
      <c r="D55" s="31" t="s">
        <v>15</v>
      </c>
      <c r="E55" s="31" t="s">
        <v>30</v>
      </c>
      <c r="F55" s="31">
        <v>2748</v>
      </c>
      <c r="G55" s="31">
        <v>145</v>
      </c>
      <c r="H55" s="31">
        <v>315</v>
      </c>
      <c r="I55" s="31">
        <v>24401</v>
      </c>
      <c r="J55" s="31">
        <v>61182</v>
      </c>
      <c r="K55" s="31">
        <v>200</v>
      </c>
      <c r="L55" s="31" t="s">
        <v>20</v>
      </c>
      <c r="M55" s="31" t="s">
        <v>369</v>
      </c>
      <c r="N55" s="33">
        <f>(Table1[[#This Row],[Likes]]+Table1[[#This Row],[Shares]]+Table1[[#This Row],[Comments]])/Table1[[#This Row],[Impressions]]</f>
        <v>0.1314700217204213</v>
      </c>
      <c r="O55" s="31">
        <f>SUM(Table1[[#This Row],[Likes]:[Comments]])</f>
        <v>3208</v>
      </c>
    </row>
    <row r="56" spans="1:15" ht="15.75" customHeight="1">
      <c r="A56" s="31" t="s">
        <v>272</v>
      </c>
      <c r="B56" s="31" t="s">
        <v>29</v>
      </c>
      <c r="C56" s="32">
        <v>45305</v>
      </c>
      <c r="D56" s="31" t="s">
        <v>15</v>
      </c>
      <c r="E56" s="31" t="s">
        <v>32</v>
      </c>
      <c r="F56" s="31">
        <v>4502</v>
      </c>
      <c r="G56" s="31">
        <v>238</v>
      </c>
      <c r="H56" s="31">
        <v>386</v>
      </c>
      <c r="I56" s="31">
        <v>39198</v>
      </c>
      <c r="J56" s="31">
        <v>25050</v>
      </c>
      <c r="K56" s="31">
        <v>297</v>
      </c>
      <c r="L56" s="31" t="s">
        <v>20</v>
      </c>
      <c r="M56" s="31" t="s">
        <v>369</v>
      </c>
      <c r="N56" s="33">
        <f>(Table1[[#This Row],[Likes]]+Table1[[#This Row],[Shares]]+Table1[[#This Row],[Comments]])/Table1[[#This Row],[Impressions]]</f>
        <v>0.13077197816215114</v>
      </c>
      <c r="O56" s="31">
        <f>SUM(Table1[[#This Row],[Likes]:[Comments]])</f>
        <v>5126</v>
      </c>
    </row>
    <row r="57" spans="1:15" ht="15.75" customHeight="1">
      <c r="A57" s="31" t="s">
        <v>39</v>
      </c>
      <c r="B57" s="31" t="s">
        <v>23</v>
      </c>
      <c r="C57" s="32">
        <v>45630</v>
      </c>
      <c r="D57" s="31" t="s">
        <v>15</v>
      </c>
      <c r="E57" s="31" t="s">
        <v>27</v>
      </c>
      <c r="F57" s="31">
        <v>2357</v>
      </c>
      <c r="G57" s="31">
        <v>274</v>
      </c>
      <c r="H57" s="31">
        <v>172</v>
      </c>
      <c r="I57" s="31">
        <v>21566</v>
      </c>
      <c r="J57" s="31">
        <v>66829</v>
      </c>
      <c r="K57" s="31">
        <v>284</v>
      </c>
      <c r="L57" s="31" t="s">
        <v>38</v>
      </c>
      <c r="M57" s="31"/>
      <c r="N57" s="33">
        <f>(Table1[[#This Row],[Likes]]+Table1[[#This Row],[Shares]]+Table1[[#This Row],[Comments]])/Table1[[#This Row],[Impressions]]</f>
        <v>0.12997310581470833</v>
      </c>
      <c r="O57" s="31">
        <f>SUM(Table1[[#This Row],[Likes]:[Comments]])</f>
        <v>2803</v>
      </c>
    </row>
    <row r="58" spans="1:15" ht="15.75" customHeight="1">
      <c r="A58" s="31" t="s">
        <v>327</v>
      </c>
      <c r="B58" s="31" t="s">
        <v>23</v>
      </c>
      <c r="C58" s="32">
        <v>45599</v>
      </c>
      <c r="D58" s="31" t="s">
        <v>24</v>
      </c>
      <c r="E58" s="31" t="s">
        <v>19</v>
      </c>
      <c r="F58" s="31">
        <v>3061</v>
      </c>
      <c r="G58" s="31">
        <v>320</v>
      </c>
      <c r="H58" s="31">
        <v>76</v>
      </c>
      <c r="I58" s="31">
        <v>26640</v>
      </c>
      <c r="J58" s="31">
        <v>24306</v>
      </c>
      <c r="K58" s="31">
        <v>112</v>
      </c>
      <c r="L58" s="31" t="s">
        <v>368</v>
      </c>
      <c r="M58" s="31" t="s">
        <v>38</v>
      </c>
      <c r="N58" s="33">
        <f>(Table1[[#This Row],[Likes]]+Table1[[#This Row],[Shares]]+Table1[[#This Row],[Comments]])/Table1[[#This Row],[Impressions]]</f>
        <v>0.12976726726726726</v>
      </c>
      <c r="O58" s="31">
        <f>SUM(Table1[[#This Row],[Likes]:[Comments]])</f>
        <v>3457</v>
      </c>
    </row>
    <row r="59" spans="1:15" ht="15.75" customHeight="1">
      <c r="A59" s="31" t="s">
        <v>222</v>
      </c>
      <c r="B59" s="31" t="s">
        <v>29</v>
      </c>
      <c r="C59" s="32">
        <v>45795</v>
      </c>
      <c r="D59" s="31" t="s">
        <v>53</v>
      </c>
      <c r="E59" s="31" t="s">
        <v>27</v>
      </c>
      <c r="F59" s="31">
        <v>4210</v>
      </c>
      <c r="G59" s="31">
        <v>319</v>
      </c>
      <c r="H59" s="31">
        <v>350</v>
      </c>
      <c r="I59" s="31">
        <v>37762</v>
      </c>
      <c r="J59" s="31">
        <v>55162</v>
      </c>
      <c r="K59" s="31">
        <v>204</v>
      </c>
      <c r="L59" s="31" t="s">
        <v>20</v>
      </c>
      <c r="M59" s="31" t="s">
        <v>41</v>
      </c>
      <c r="N59" s="33">
        <f>(Table1[[#This Row],[Likes]]+Table1[[#This Row],[Shares]]+Table1[[#This Row],[Comments]])/Table1[[#This Row],[Impressions]]</f>
        <v>0.12920396165457337</v>
      </c>
      <c r="O59" s="31">
        <f>SUM(Table1[[#This Row],[Likes]:[Comments]])</f>
        <v>4879</v>
      </c>
    </row>
    <row r="60" spans="1:15" ht="15.75" customHeight="1">
      <c r="A60" s="31" t="s">
        <v>256</v>
      </c>
      <c r="B60" s="31" t="s">
        <v>23</v>
      </c>
      <c r="C60" s="32">
        <v>45786</v>
      </c>
      <c r="D60" s="31" t="s">
        <v>24</v>
      </c>
      <c r="E60" s="31" t="s">
        <v>30</v>
      </c>
      <c r="F60" s="31">
        <v>2778</v>
      </c>
      <c r="G60" s="31">
        <v>241</v>
      </c>
      <c r="H60" s="31">
        <v>317</v>
      </c>
      <c r="I60" s="31">
        <v>26247</v>
      </c>
      <c r="J60" s="31">
        <v>20677</v>
      </c>
      <c r="K60" s="31">
        <v>282</v>
      </c>
      <c r="L60" s="31" t="s">
        <v>368</v>
      </c>
      <c r="M60" s="31" t="s">
        <v>38</v>
      </c>
      <c r="N60" s="33">
        <f>(Table1[[#This Row],[Likes]]+Table1[[#This Row],[Shares]]+Table1[[#This Row],[Comments]])/Table1[[#This Row],[Impressions]]</f>
        <v>0.1271002400274317</v>
      </c>
      <c r="O60" s="31">
        <f>SUM(Table1[[#This Row],[Likes]:[Comments]])</f>
        <v>3336</v>
      </c>
    </row>
    <row r="61" spans="1:15" ht="15.75" customHeight="1">
      <c r="A61" s="31" t="s">
        <v>249</v>
      </c>
      <c r="B61" s="31" t="s">
        <v>23</v>
      </c>
      <c r="C61" s="32">
        <v>45574</v>
      </c>
      <c r="D61" s="31" t="s">
        <v>15</v>
      </c>
      <c r="E61" s="31" t="s">
        <v>27</v>
      </c>
      <c r="F61" s="31">
        <v>2659</v>
      </c>
      <c r="G61" s="31">
        <v>167</v>
      </c>
      <c r="H61" s="31">
        <v>73</v>
      </c>
      <c r="I61" s="31">
        <v>23090</v>
      </c>
      <c r="J61" s="31">
        <v>25872</v>
      </c>
      <c r="K61" s="31">
        <v>293</v>
      </c>
      <c r="L61" s="31" t="s">
        <v>41</v>
      </c>
      <c r="M61" s="31"/>
      <c r="N61" s="33">
        <f>(Table1[[#This Row],[Likes]]+Table1[[#This Row],[Shares]]+Table1[[#This Row],[Comments]])/Table1[[#This Row],[Impressions]]</f>
        <v>0.12555218709398008</v>
      </c>
      <c r="O61" s="31">
        <f>SUM(Table1[[#This Row],[Likes]:[Comments]])</f>
        <v>2899</v>
      </c>
    </row>
    <row r="62" spans="1:15" ht="15.75" customHeight="1">
      <c r="A62" s="31" t="s">
        <v>253</v>
      </c>
      <c r="B62" s="31" t="s">
        <v>23</v>
      </c>
      <c r="C62" s="32">
        <v>45579</v>
      </c>
      <c r="D62" s="31" t="s">
        <v>24</v>
      </c>
      <c r="E62" s="31" t="s">
        <v>19</v>
      </c>
      <c r="F62" s="31">
        <v>4303</v>
      </c>
      <c r="G62" s="31">
        <v>306</v>
      </c>
      <c r="H62" s="31">
        <v>302</v>
      </c>
      <c r="I62" s="31">
        <v>39575</v>
      </c>
      <c r="J62" s="31">
        <v>33762</v>
      </c>
      <c r="K62" s="31">
        <v>265</v>
      </c>
      <c r="L62" s="31" t="s">
        <v>20</v>
      </c>
      <c r="M62" s="31" t="s">
        <v>368</v>
      </c>
      <c r="N62" s="33">
        <f>(Table1[[#This Row],[Likes]]+Table1[[#This Row],[Shares]]+Table1[[#This Row],[Comments]])/Table1[[#This Row],[Impressions]]</f>
        <v>0.12409349336702463</v>
      </c>
      <c r="O62" s="31">
        <f>SUM(Table1[[#This Row],[Likes]:[Comments]])</f>
        <v>4911</v>
      </c>
    </row>
    <row r="63" spans="1:15" ht="15.75" customHeight="1">
      <c r="A63" s="31" t="s">
        <v>262</v>
      </c>
      <c r="B63" s="31" t="s">
        <v>29</v>
      </c>
      <c r="C63" s="32">
        <v>45738</v>
      </c>
      <c r="D63" s="31" t="s">
        <v>15</v>
      </c>
      <c r="E63" s="31" t="s">
        <v>30</v>
      </c>
      <c r="F63" s="31">
        <v>4308</v>
      </c>
      <c r="G63" s="31">
        <v>171</v>
      </c>
      <c r="H63" s="31">
        <v>106</v>
      </c>
      <c r="I63" s="31">
        <v>36955</v>
      </c>
      <c r="J63" s="31">
        <v>23949</v>
      </c>
      <c r="K63" s="31">
        <v>294</v>
      </c>
      <c r="L63" s="31" t="s">
        <v>20</v>
      </c>
      <c r="M63" s="31" t="s">
        <v>369</v>
      </c>
      <c r="N63" s="33">
        <f>(Table1[[#This Row],[Likes]]+Table1[[#This Row],[Shares]]+Table1[[#This Row],[Comments]])/Table1[[#This Row],[Impressions]]</f>
        <v>0.12406981463942633</v>
      </c>
      <c r="O63" s="31">
        <f>SUM(Table1[[#This Row],[Likes]:[Comments]])</f>
        <v>4585</v>
      </c>
    </row>
    <row r="64" spans="1:15" ht="15.75" customHeight="1">
      <c r="A64" s="31" t="s">
        <v>297</v>
      </c>
      <c r="B64" s="31" t="s">
        <v>23</v>
      </c>
      <c r="C64" s="32">
        <v>45626</v>
      </c>
      <c r="D64" s="31" t="s">
        <v>24</v>
      </c>
      <c r="E64" s="31" t="s">
        <v>19</v>
      </c>
      <c r="F64" s="31">
        <v>4963</v>
      </c>
      <c r="G64" s="31">
        <v>255</v>
      </c>
      <c r="H64" s="31">
        <v>193</v>
      </c>
      <c r="I64" s="31">
        <v>44386</v>
      </c>
      <c r="J64" s="31">
        <v>28415</v>
      </c>
      <c r="K64" s="31">
        <v>174</v>
      </c>
      <c r="L64" s="31" t="s">
        <v>368</v>
      </c>
      <c r="M64" s="31" t="s">
        <v>38</v>
      </c>
      <c r="N64" s="33">
        <f>(Table1[[#This Row],[Likes]]+Table1[[#This Row],[Shares]]+Table1[[#This Row],[Comments]])/Table1[[#This Row],[Impressions]]</f>
        <v>0.12190780876853062</v>
      </c>
      <c r="O64" s="31">
        <f>SUM(Table1[[#This Row],[Likes]:[Comments]])</f>
        <v>5411</v>
      </c>
    </row>
    <row r="65" spans="1:15" ht="15.75" customHeight="1">
      <c r="A65" s="31" t="s">
        <v>26</v>
      </c>
      <c r="B65" s="31" t="s">
        <v>14</v>
      </c>
      <c r="C65" s="32">
        <v>45629</v>
      </c>
      <c r="D65" s="31" t="s">
        <v>15</v>
      </c>
      <c r="E65" s="31" t="s">
        <v>27</v>
      </c>
      <c r="F65" s="31">
        <v>3173</v>
      </c>
      <c r="G65" s="31">
        <v>229</v>
      </c>
      <c r="H65" s="31">
        <v>197</v>
      </c>
      <c r="I65" s="31">
        <v>29604</v>
      </c>
      <c r="J65" s="31">
        <v>21809</v>
      </c>
      <c r="K65" s="31">
        <v>272</v>
      </c>
      <c r="L65" s="31" t="s">
        <v>41</v>
      </c>
      <c r="M65" s="31" t="s">
        <v>38</v>
      </c>
      <c r="N65" s="33">
        <f>(Table1[[#This Row],[Likes]]+Table1[[#This Row],[Shares]]+Table1[[#This Row],[Comments]])/Table1[[#This Row],[Impressions]]</f>
        <v>0.1215714092690177</v>
      </c>
      <c r="O65" s="31">
        <f>SUM(Table1[[#This Row],[Likes]:[Comments]])</f>
        <v>3599</v>
      </c>
    </row>
    <row r="66" spans="1:15" ht="15.75" customHeight="1">
      <c r="A66" s="31" t="s">
        <v>331</v>
      </c>
      <c r="B66" s="31" t="s">
        <v>23</v>
      </c>
      <c r="C66" s="32">
        <v>45736</v>
      </c>
      <c r="D66" s="31" t="s">
        <v>24</v>
      </c>
      <c r="E66" s="31" t="s">
        <v>47</v>
      </c>
      <c r="F66" s="31">
        <v>3393</v>
      </c>
      <c r="G66" s="31">
        <v>104</v>
      </c>
      <c r="H66" s="31">
        <v>79</v>
      </c>
      <c r="I66" s="31">
        <v>30025</v>
      </c>
      <c r="J66" s="31">
        <v>21593</v>
      </c>
      <c r="K66" s="31">
        <v>165</v>
      </c>
      <c r="L66" s="31" t="s">
        <v>368</v>
      </c>
      <c r="M66" s="31" t="s">
        <v>38</v>
      </c>
      <c r="N66" s="33">
        <f>(Table1[[#This Row],[Likes]]+Table1[[#This Row],[Shares]]+Table1[[#This Row],[Comments]])/Table1[[#This Row],[Impressions]]</f>
        <v>0.1191007493755204</v>
      </c>
      <c r="O66" s="31">
        <f>SUM(Table1[[#This Row],[Likes]:[Comments]])</f>
        <v>3576</v>
      </c>
    </row>
    <row r="67" spans="1:15" ht="15.75" customHeight="1">
      <c r="A67" s="31" t="s">
        <v>78</v>
      </c>
      <c r="B67" s="31" t="s">
        <v>14</v>
      </c>
      <c r="C67" s="32">
        <v>45702</v>
      </c>
      <c r="D67" s="31" t="s">
        <v>15</v>
      </c>
      <c r="E67" s="31" t="s">
        <v>37</v>
      </c>
      <c r="F67" s="31">
        <v>4891</v>
      </c>
      <c r="G67" s="31">
        <v>450</v>
      </c>
      <c r="H67" s="31">
        <v>387</v>
      </c>
      <c r="I67" s="31">
        <v>48746</v>
      </c>
      <c r="J67" s="31">
        <v>37312</v>
      </c>
      <c r="K67" s="31">
        <v>154</v>
      </c>
      <c r="L67" s="31" t="s">
        <v>41</v>
      </c>
      <c r="M67" s="31" t="s">
        <v>38</v>
      </c>
      <c r="N67" s="33">
        <f>(Table1[[#This Row],[Likes]]+Table1[[#This Row],[Shares]]+Table1[[#This Row],[Comments]])/Table1[[#This Row],[Impressions]]</f>
        <v>0.11750707750379519</v>
      </c>
      <c r="O67" s="31">
        <f>SUM(Table1[[#This Row],[Likes]:[Comments]])</f>
        <v>5728</v>
      </c>
    </row>
    <row r="68" spans="1:15" ht="15.75" customHeight="1">
      <c r="A68" s="31" t="s">
        <v>177</v>
      </c>
      <c r="B68" s="31" t="s">
        <v>14</v>
      </c>
      <c r="C68" s="32">
        <v>45647</v>
      </c>
      <c r="D68" s="31" t="s">
        <v>24</v>
      </c>
      <c r="E68" s="31" t="s">
        <v>25</v>
      </c>
      <c r="F68" s="31">
        <v>4563</v>
      </c>
      <c r="G68" s="31">
        <v>398</v>
      </c>
      <c r="H68" s="31">
        <v>163</v>
      </c>
      <c r="I68" s="31">
        <v>43679</v>
      </c>
      <c r="J68" s="31">
        <v>48760</v>
      </c>
      <c r="K68" s="31">
        <v>92</v>
      </c>
      <c r="L68" s="31" t="s">
        <v>38</v>
      </c>
      <c r="M68" s="31"/>
      <c r="N68" s="33">
        <f>(Table1[[#This Row],[Likes]]+Table1[[#This Row],[Shares]]+Table1[[#This Row],[Comments]])/Table1[[#This Row],[Impressions]]</f>
        <v>0.11731037798484398</v>
      </c>
      <c r="O68" s="31">
        <f>SUM(Table1[[#This Row],[Likes]:[Comments]])</f>
        <v>5124</v>
      </c>
    </row>
    <row r="69" spans="1:15" ht="15.75" customHeight="1">
      <c r="A69" s="31" t="s">
        <v>301</v>
      </c>
      <c r="B69" s="31" t="s">
        <v>14</v>
      </c>
      <c r="C69" s="32">
        <v>45442</v>
      </c>
      <c r="D69" s="31" t="s">
        <v>24</v>
      </c>
      <c r="E69" s="31" t="s">
        <v>34</v>
      </c>
      <c r="F69" s="31">
        <v>2448</v>
      </c>
      <c r="G69" s="31">
        <v>464</v>
      </c>
      <c r="H69" s="31">
        <v>98</v>
      </c>
      <c r="I69" s="31">
        <v>25737</v>
      </c>
      <c r="J69" s="31">
        <v>48545</v>
      </c>
      <c r="K69" s="31">
        <v>246</v>
      </c>
      <c r="L69" s="31" t="s">
        <v>38</v>
      </c>
      <c r="M69" s="31"/>
      <c r="N69" s="33">
        <f>(Table1[[#This Row],[Likes]]+Table1[[#This Row],[Shares]]+Table1[[#This Row],[Comments]])/Table1[[#This Row],[Impressions]]</f>
        <v>0.11695224773672146</v>
      </c>
      <c r="O69" s="31">
        <f>SUM(Table1[[#This Row],[Likes]:[Comments]])</f>
        <v>3010</v>
      </c>
    </row>
    <row r="70" spans="1:15" ht="15.75" customHeight="1">
      <c r="A70" s="31" t="s">
        <v>174</v>
      </c>
      <c r="B70" s="31" t="s">
        <v>23</v>
      </c>
      <c r="C70" s="32">
        <v>45725</v>
      </c>
      <c r="D70" s="31" t="s">
        <v>15</v>
      </c>
      <c r="E70" s="31" t="s">
        <v>47</v>
      </c>
      <c r="F70" s="31">
        <v>2754</v>
      </c>
      <c r="G70" s="31">
        <v>215</v>
      </c>
      <c r="H70" s="31">
        <v>264</v>
      </c>
      <c r="I70" s="31">
        <v>27762</v>
      </c>
      <c r="J70" s="31">
        <v>70203</v>
      </c>
      <c r="K70" s="31">
        <v>289</v>
      </c>
      <c r="L70" s="31" t="s">
        <v>38</v>
      </c>
      <c r="M70" s="31"/>
      <c r="N70" s="33">
        <f>(Table1[[#This Row],[Likes]]+Table1[[#This Row],[Shares]]+Table1[[#This Row],[Comments]])/Table1[[#This Row],[Impressions]]</f>
        <v>0.11645414595490239</v>
      </c>
      <c r="O70" s="31">
        <f>SUM(Table1[[#This Row],[Likes]:[Comments]])</f>
        <v>3233</v>
      </c>
    </row>
    <row r="71" spans="1:15" ht="15.75" customHeight="1">
      <c r="A71" s="31" t="s">
        <v>80</v>
      </c>
      <c r="B71" s="31" t="s">
        <v>29</v>
      </c>
      <c r="C71" s="32">
        <v>45487</v>
      </c>
      <c r="D71" s="31" t="s">
        <v>15</v>
      </c>
      <c r="E71" s="31" t="s">
        <v>47</v>
      </c>
      <c r="F71" s="31">
        <v>3806</v>
      </c>
      <c r="G71" s="31">
        <v>114</v>
      </c>
      <c r="H71" s="31">
        <v>278</v>
      </c>
      <c r="I71" s="31">
        <v>36148</v>
      </c>
      <c r="J71" s="31">
        <v>24209</v>
      </c>
      <c r="K71" s="31">
        <v>201</v>
      </c>
      <c r="L71" s="31" t="s">
        <v>20</v>
      </c>
      <c r="M71" s="31" t="s">
        <v>369</v>
      </c>
      <c r="N71" s="33">
        <f>(Table1[[#This Row],[Likes]]+Table1[[#This Row],[Shares]]+Table1[[#This Row],[Comments]])/Table1[[#This Row],[Impressions]]</f>
        <v>0.11613367267898639</v>
      </c>
      <c r="O71" s="31">
        <f>SUM(Table1[[#This Row],[Likes]:[Comments]])</f>
        <v>4198</v>
      </c>
    </row>
    <row r="72" spans="1:15" ht="15.75" customHeight="1">
      <c r="A72" s="31" t="s">
        <v>180</v>
      </c>
      <c r="B72" s="31" t="s">
        <v>23</v>
      </c>
      <c r="C72" s="32">
        <v>45805</v>
      </c>
      <c r="D72" s="31" t="s">
        <v>24</v>
      </c>
      <c r="E72" s="31" t="s">
        <v>37</v>
      </c>
      <c r="F72" s="31">
        <v>4287</v>
      </c>
      <c r="G72" s="31">
        <v>273</v>
      </c>
      <c r="H72" s="31">
        <v>122</v>
      </c>
      <c r="I72" s="31">
        <v>40792</v>
      </c>
      <c r="J72" s="31">
        <v>23878</v>
      </c>
      <c r="K72" s="31">
        <v>277</v>
      </c>
      <c r="L72" s="31" t="s">
        <v>368</v>
      </c>
      <c r="M72" s="31" t="s">
        <v>38</v>
      </c>
      <c r="N72" s="33">
        <f>(Table1[[#This Row],[Likes]]+Table1[[#This Row],[Shares]]+Table1[[#This Row],[Comments]])/Table1[[#This Row],[Impressions]]</f>
        <v>0.11477740733477153</v>
      </c>
      <c r="O72" s="31">
        <f>SUM(Table1[[#This Row],[Likes]:[Comments]])</f>
        <v>4682</v>
      </c>
    </row>
    <row r="73" spans="1:15" ht="15.75" customHeight="1">
      <c r="A73" s="31" t="s">
        <v>321</v>
      </c>
      <c r="B73" s="31" t="s">
        <v>14</v>
      </c>
      <c r="C73" s="32">
        <v>45413</v>
      </c>
      <c r="D73" s="31" t="s">
        <v>15</v>
      </c>
      <c r="E73" s="31" t="s">
        <v>34</v>
      </c>
      <c r="F73" s="31">
        <v>3359</v>
      </c>
      <c r="G73" s="31">
        <v>137</v>
      </c>
      <c r="H73" s="31">
        <v>387</v>
      </c>
      <c r="I73" s="31">
        <v>33861</v>
      </c>
      <c r="J73" s="31">
        <v>47257</v>
      </c>
      <c r="K73" s="31">
        <v>198</v>
      </c>
      <c r="L73" s="31" t="s">
        <v>20</v>
      </c>
      <c r="M73" s="31"/>
      <c r="N73" s="33">
        <f>(Table1[[#This Row],[Likes]]+Table1[[#This Row],[Shares]]+Table1[[#This Row],[Comments]])/Table1[[#This Row],[Impressions]]</f>
        <v>0.11467469950680724</v>
      </c>
      <c r="O73" s="31">
        <f>SUM(Table1[[#This Row],[Likes]:[Comments]])</f>
        <v>3883</v>
      </c>
    </row>
    <row r="74" spans="1:15" ht="15.75" customHeight="1">
      <c r="A74" s="31" t="s">
        <v>62</v>
      </c>
      <c r="B74" s="31" t="s">
        <v>14</v>
      </c>
      <c r="C74" s="32">
        <v>45625</v>
      </c>
      <c r="D74" s="31" t="s">
        <v>15</v>
      </c>
      <c r="E74" s="31" t="s">
        <v>32</v>
      </c>
      <c r="F74" s="31">
        <v>2824</v>
      </c>
      <c r="G74" s="31">
        <v>425</v>
      </c>
      <c r="H74" s="31">
        <v>274</v>
      </c>
      <c r="I74" s="31">
        <v>31004</v>
      </c>
      <c r="J74" s="31">
        <v>53488</v>
      </c>
      <c r="K74" s="31">
        <v>268</v>
      </c>
      <c r="L74" s="31" t="s">
        <v>41</v>
      </c>
      <c r="M74" s="31" t="s">
        <v>38</v>
      </c>
      <c r="N74" s="33">
        <f>(Table1[[#This Row],[Likes]]+Table1[[#This Row],[Shares]]+Table1[[#This Row],[Comments]])/Table1[[#This Row],[Impressions]]</f>
        <v>0.11363049929041415</v>
      </c>
      <c r="O74" s="31">
        <f>SUM(Table1[[#This Row],[Likes]:[Comments]])</f>
        <v>3523</v>
      </c>
    </row>
    <row r="75" spans="1:15" ht="15.75" customHeight="1">
      <c r="A75" s="31" t="s">
        <v>224</v>
      </c>
      <c r="B75" s="31" t="s">
        <v>29</v>
      </c>
      <c r="C75" s="32">
        <v>45708</v>
      </c>
      <c r="D75" s="31" t="s">
        <v>53</v>
      </c>
      <c r="E75" s="31" t="s">
        <v>34</v>
      </c>
      <c r="F75" s="31">
        <v>4957</v>
      </c>
      <c r="G75" s="31">
        <v>262</v>
      </c>
      <c r="H75" s="31">
        <v>365</v>
      </c>
      <c r="I75" s="31">
        <v>49199</v>
      </c>
      <c r="J75" s="31">
        <v>40314</v>
      </c>
      <c r="K75" s="31">
        <v>216</v>
      </c>
      <c r="L75" s="31" t="s">
        <v>20</v>
      </c>
      <c r="M75" s="31" t="s">
        <v>41</v>
      </c>
      <c r="N75" s="33">
        <f>(Table1[[#This Row],[Likes]]+Table1[[#This Row],[Shares]]+Table1[[#This Row],[Comments]])/Table1[[#This Row],[Impressions]]</f>
        <v>0.11349824183418362</v>
      </c>
      <c r="O75" s="31">
        <f>SUM(Table1[[#This Row],[Likes]:[Comments]])</f>
        <v>5584</v>
      </c>
    </row>
    <row r="76" spans="1:15" ht="15.75" customHeight="1">
      <c r="A76" s="31" t="s">
        <v>46</v>
      </c>
      <c r="B76" s="31" t="s">
        <v>23</v>
      </c>
      <c r="C76" s="32">
        <v>45418</v>
      </c>
      <c r="D76" s="31" t="s">
        <v>15</v>
      </c>
      <c r="E76" s="31" t="s">
        <v>47</v>
      </c>
      <c r="F76" s="31">
        <v>3476</v>
      </c>
      <c r="G76" s="31">
        <v>355</v>
      </c>
      <c r="H76" s="31">
        <v>396</v>
      </c>
      <c r="I76" s="31">
        <v>37492</v>
      </c>
      <c r="J76" s="31">
        <v>27285</v>
      </c>
      <c r="K76" s="31">
        <v>179</v>
      </c>
      <c r="L76" s="31" t="s">
        <v>38</v>
      </c>
      <c r="M76" s="31"/>
      <c r="N76" s="33">
        <f>(Table1[[#This Row],[Likes]]+Table1[[#This Row],[Shares]]+Table1[[#This Row],[Comments]])/Table1[[#This Row],[Impressions]]</f>
        <v>0.11274405206444041</v>
      </c>
      <c r="O76" s="31">
        <f>SUM(Table1[[#This Row],[Likes]:[Comments]])</f>
        <v>4227</v>
      </c>
    </row>
    <row r="77" spans="1:15" ht="15.75" customHeight="1">
      <c r="A77" s="31" t="s">
        <v>197</v>
      </c>
      <c r="B77" s="31" t="s">
        <v>14</v>
      </c>
      <c r="C77" s="32">
        <v>45610</v>
      </c>
      <c r="D77" s="31" t="s">
        <v>15</v>
      </c>
      <c r="E77" s="31" t="s">
        <v>30</v>
      </c>
      <c r="F77" s="31">
        <v>2422</v>
      </c>
      <c r="G77" s="31">
        <v>318</v>
      </c>
      <c r="H77" s="31">
        <v>118</v>
      </c>
      <c r="I77" s="31">
        <v>25386</v>
      </c>
      <c r="J77" s="31">
        <v>20873</v>
      </c>
      <c r="K77" s="31">
        <v>100</v>
      </c>
      <c r="L77" s="31" t="s">
        <v>41</v>
      </c>
      <c r="M77" s="31" t="s">
        <v>38</v>
      </c>
      <c r="N77" s="33">
        <f>(Table1[[#This Row],[Likes]]+Table1[[#This Row],[Shares]]+Table1[[#This Row],[Comments]])/Table1[[#This Row],[Impressions]]</f>
        <v>0.11258173796580792</v>
      </c>
      <c r="O77" s="31">
        <f>SUM(Table1[[#This Row],[Likes]:[Comments]])</f>
        <v>2858</v>
      </c>
    </row>
    <row r="78" spans="1:15" ht="15.75" customHeight="1">
      <c r="A78" s="31" t="s">
        <v>315</v>
      </c>
      <c r="B78" s="31" t="s">
        <v>23</v>
      </c>
      <c r="C78" s="32">
        <v>45563</v>
      </c>
      <c r="D78" s="31" t="s">
        <v>24</v>
      </c>
      <c r="E78" s="31" t="s">
        <v>27</v>
      </c>
      <c r="F78" s="31">
        <v>4471</v>
      </c>
      <c r="G78" s="31">
        <v>317</v>
      </c>
      <c r="H78" s="31">
        <v>249</v>
      </c>
      <c r="I78" s="31">
        <v>44862</v>
      </c>
      <c r="J78" s="31">
        <v>33365</v>
      </c>
      <c r="K78" s="31">
        <v>184</v>
      </c>
      <c r="L78" s="31" t="s">
        <v>20</v>
      </c>
      <c r="M78" s="31" t="s">
        <v>368</v>
      </c>
      <c r="N78" s="33">
        <f>(Table1[[#This Row],[Likes]]+Table1[[#This Row],[Shares]]+Table1[[#This Row],[Comments]])/Table1[[#This Row],[Impressions]]</f>
        <v>0.1122776514644911</v>
      </c>
      <c r="O78" s="31">
        <f>SUM(Table1[[#This Row],[Likes]:[Comments]])</f>
        <v>5037</v>
      </c>
    </row>
    <row r="79" spans="1:15" ht="15.75" customHeight="1">
      <c r="A79" s="31" t="s">
        <v>259</v>
      </c>
      <c r="B79" s="31" t="s">
        <v>23</v>
      </c>
      <c r="C79" s="32">
        <v>45636</v>
      </c>
      <c r="D79" s="31" t="s">
        <v>15</v>
      </c>
      <c r="E79" s="31" t="s">
        <v>45</v>
      </c>
      <c r="F79" s="31">
        <v>4673</v>
      </c>
      <c r="G79" s="31">
        <v>270</v>
      </c>
      <c r="H79" s="31">
        <v>93</v>
      </c>
      <c r="I79" s="31">
        <v>45260</v>
      </c>
      <c r="J79" s="31">
        <v>57513</v>
      </c>
      <c r="K79" s="31">
        <v>103</v>
      </c>
      <c r="L79" s="31" t="s">
        <v>38</v>
      </c>
      <c r="M79" s="31"/>
      <c r="N79" s="33">
        <f>(Table1[[#This Row],[Likes]]+Table1[[#This Row],[Shares]]+Table1[[#This Row],[Comments]])/Table1[[#This Row],[Impressions]]</f>
        <v>0.11126822801590809</v>
      </c>
      <c r="O79" s="31">
        <f>SUM(Table1[[#This Row],[Likes]:[Comments]])</f>
        <v>5036</v>
      </c>
    </row>
    <row r="80" spans="1:15" ht="15.75" customHeight="1">
      <c r="A80" s="31" t="s">
        <v>95</v>
      </c>
      <c r="B80" s="31" t="s">
        <v>29</v>
      </c>
      <c r="C80" s="32">
        <v>45398</v>
      </c>
      <c r="D80" s="31" t="s">
        <v>15</v>
      </c>
      <c r="E80" s="31" t="s">
        <v>16</v>
      </c>
      <c r="F80" s="31">
        <v>4674</v>
      </c>
      <c r="G80" s="31">
        <v>326</v>
      </c>
      <c r="H80" s="31">
        <v>62</v>
      </c>
      <c r="I80" s="31">
        <v>45503</v>
      </c>
      <c r="J80" s="31">
        <v>46814</v>
      </c>
      <c r="K80" s="31">
        <v>116</v>
      </c>
      <c r="L80" s="31" t="s">
        <v>20</v>
      </c>
      <c r="M80" s="31" t="s">
        <v>369</v>
      </c>
      <c r="N80" s="33">
        <f>(Table1[[#This Row],[Likes]]+Table1[[#This Row],[Shares]]+Table1[[#This Row],[Comments]])/Table1[[#This Row],[Impressions]]</f>
        <v>0.11124541239039185</v>
      </c>
      <c r="O80" s="31">
        <f>SUM(Table1[[#This Row],[Likes]:[Comments]])</f>
        <v>5062</v>
      </c>
    </row>
    <row r="81" spans="1:15" ht="15.75" customHeight="1">
      <c r="A81" s="31" t="s">
        <v>330</v>
      </c>
      <c r="B81" s="31" t="s">
        <v>14</v>
      </c>
      <c r="C81" s="32">
        <v>45724</v>
      </c>
      <c r="D81" s="31" t="s">
        <v>24</v>
      </c>
      <c r="E81" s="31" t="s">
        <v>37</v>
      </c>
      <c r="F81" s="31">
        <v>2244</v>
      </c>
      <c r="G81" s="31">
        <v>392</v>
      </c>
      <c r="H81" s="31">
        <v>231</v>
      </c>
      <c r="I81" s="31">
        <v>25834</v>
      </c>
      <c r="J81" s="31">
        <v>50906</v>
      </c>
      <c r="K81" s="31">
        <v>165</v>
      </c>
      <c r="L81" s="31" t="s">
        <v>38</v>
      </c>
      <c r="M81" s="31"/>
      <c r="N81" s="33">
        <f>(Table1[[#This Row],[Likes]]+Table1[[#This Row],[Shares]]+Table1[[#This Row],[Comments]])/Table1[[#This Row],[Impressions]]</f>
        <v>0.1109777812185492</v>
      </c>
      <c r="O81" s="31">
        <f>SUM(Table1[[#This Row],[Likes]:[Comments]])</f>
        <v>2867</v>
      </c>
    </row>
    <row r="82" spans="1:15" ht="15.75" customHeight="1">
      <c r="A82" s="31" t="s">
        <v>198</v>
      </c>
      <c r="B82" s="31" t="s">
        <v>29</v>
      </c>
      <c r="C82" s="32">
        <v>45513</v>
      </c>
      <c r="D82" s="31" t="s">
        <v>53</v>
      </c>
      <c r="E82" s="31" t="s">
        <v>45</v>
      </c>
      <c r="F82" s="31">
        <v>3414</v>
      </c>
      <c r="G82" s="31">
        <v>154</v>
      </c>
      <c r="H82" s="31">
        <v>204</v>
      </c>
      <c r="I82" s="31">
        <v>34146</v>
      </c>
      <c r="J82" s="31">
        <v>44633</v>
      </c>
      <c r="K82" s="31">
        <v>256</v>
      </c>
      <c r="L82" s="31" t="s">
        <v>20</v>
      </c>
      <c r="M82" s="31" t="s">
        <v>41</v>
      </c>
      <c r="N82" s="33">
        <f>(Table1[[#This Row],[Likes]]+Table1[[#This Row],[Shares]]+Table1[[#This Row],[Comments]])/Table1[[#This Row],[Impressions]]</f>
        <v>0.11046681895390383</v>
      </c>
      <c r="O82" s="31">
        <f>SUM(Table1[[#This Row],[Likes]:[Comments]])</f>
        <v>3772</v>
      </c>
    </row>
    <row r="83" spans="1:15" ht="15.75" customHeight="1">
      <c r="A83" s="31" t="s">
        <v>160</v>
      </c>
      <c r="B83" s="31" t="s">
        <v>23</v>
      </c>
      <c r="C83" s="32">
        <v>45602</v>
      </c>
      <c r="D83" s="31" t="s">
        <v>15</v>
      </c>
      <c r="E83" s="31" t="s">
        <v>45</v>
      </c>
      <c r="F83" s="31">
        <v>2956</v>
      </c>
      <c r="G83" s="31">
        <v>381</v>
      </c>
      <c r="H83" s="31">
        <v>345</v>
      </c>
      <c r="I83" s="31">
        <v>33347</v>
      </c>
      <c r="J83" s="31">
        <v>22558</v>
      </c>
      <c r="K83" s="31">
        <v>173</v>
      </c>
      <c r="L83" s="31" t="s">
        <v>38</v>
      </c>
      <c r="M83" s="31"/>
      <c r="N83" s="33">
        <f>(Table1[[#This Row],[Likes]]+Table1[[#This Row],[Shares]]+Table1[[#This Row],[Comments]])/Table1[[#This Row],[Impressions]]</f>
        <v>0.11041472996071611</v>
      </c>
      <c r="O83" s="31">
        <f>SUM(Table1[[#This Row],[Likes]:[Comments]])</f>
        <v>3682</v>
      </c>
    </row>
    <row r="84" spans="1:15" ht="15.75" customHeight="1">
      <c r="A84" s="31" t="s">
        <v>59</v>
      </c>
      <c r="B84" s="31" t="s">
        <v>23</v>
      </c>
      <c r="C84" s="32">
        <v>45583</v>
      </c>
      <c r="D84" s="31" t="s">
        <v>15</v>
      </c>
      <c r="E84" s="31" t="s">
        <v>25</v>
      </c>
      <c r="F84" s="31">
        <v>2607</v>
      </c>
      <c r="G84" s="31">
        <v>379</v>
      </c>
      <c r="H84" s="31">
        <v>180</v>
      </c>
      <c r="I84" s="31">
        <v>28712</v>
      </c>
      <c r="J84" s="31">
        <v>61620</v>
      </c>
      <c r="K84" s="31">
        <v>174</v>
      </c>
      <c r="L84" s="31" t="s">
        <v>41</v>
      </c>
      <c r="M84" s="31"/>
      <c r="N84" s="33">
        <f>(Table1[[#This Row],[Likes]]+Table1[[#This Row],[Shares]]+Table1[[#This Row],[Comments]])/Table1[[#This Row],[Impressions]]</f>
        <v>0.11026748397882419</v>
      </c>
      <c r="O84" s="31">
        <f>SUM(Table1[[#This Row],[Likes]:[Comments]])</f>
        <v>3166</v>
      </c>
    </row>
    <row r="85" spans="1:15" ht="15.75" customHeight="1">
      <c r="A85" s="31" t="s">
        <v>267</v>
      </c>
      <c r="B85" s="31" t="s">
        <v>29</v>
      </c>
      <c r="C85" s="32">
        <v>45723</v>
      </c>
      <c r="D85" s="31" t="s">
        <v>15</v>
      </c>
      <c r="E85" s="31" t="s">
        <v>37</v>
      </c>
      <c r="F85" s="31">
        <v>4310</v>
      </c>
      <c r="G85" s="31">
        <v>284</v>
      </c>
      <c r="H85" s="31">
        <v>306</v>
      </c>
      <c r="I85" s="31">
        <v>44606</v>
      </c>
      <c r="J85" s="31">
        <v>42604</v>
      </c>
      <c r="K85" s="31">
        <v>290</v>
      </c>
      <c r="L85" s="31" t="s">
        <v>20</v>
      </c>
      <c r="M85" s="31" t="s">
        <v>369</v>
      </c>
      <c r="N85" s="33">
        <f>(Table1[[#This Row],[Likes]]+Table1[[#This Row],[Shares]]+Table1[[#This Row],[Comments]])/Table1[[#This Row],[Impressions]]</f>
        <v>0.10985069273191947</v>
      </c>
      <c r="O85" s="31">
        <f>SUM(Table1[[#This Row],[Likes]:[Comments]])</f>
        <v>4900</v>
      </c>
    </row>
    <row r="86" spans="1:15" ht="15.75" customHeight="1">
      <c r="A86" s="31" t="s">
        <v>143</v>
      </c>
      <c r="B86" s="31" t="s">
        <v>29</v>
      </c>
      <c r="C86" s="32">
        <v>45542</v>
      </c>
      <c r="D86" s="31" t="s">
        <v>53</v>
      </c>
      <c r="E86" s="31" t="s">
        <v>30</v>
      </c>
      <c r="F86" s="31">
        <v>3882</v>
      </c>
      <c r="G86" s="31">
        <v>342</v>
      </c>
      <c r="H86" s="31">
        <v>374</v>
      </c>
      <c r="I86" s="31">
        <v>41991</v>
      </c>
      <c r="J86" s="31">
        <v>48554</v>
      </c>
      <c r="K86" s="31">
        <v>118</v>
      </c>
      <c r="L86" s="31" t="s">
        <v>20</v>
      </c>
      <c r="M86" s="31" t="s">
        <v>41</v>
      </c>
      <c r="N86" s="33">
        <f>(Table1[[#This Row],[Likes]]+Table1[[#This Row],[Shares]]+Table1[[#This Row],[Comments]])/Table1[[#This Row],[Impressions]]</f>
        <v>0.10949965468790931</v>
      </c>
      <c r="O86" s="31">
        <f>SUM(Table1[[#This Row],[Likes]:[Comments]])</f>
        <v>4598</v>
      </c>
    </row>
    <row r="87" spans="1:15" ht="15.75" customHeight="1">
      <c r="A87" s="31" t="s">
        <v>84</v>
      </c>
      <c r="B87" s="31" t="s">
        <v>23</v>
      </c>
      <c r="C87" s="32">
        <v>45533</v>
      </c>
      <c r="D87" s="31" t="s">
        <v>24</v>
      </c>
      <c r="E87" s="31" t="s">
        <v>34</v>
      </c>
      <c r="F87" s="31">
        <v>4276</v>
      </c>
      <c r="G87" s="31">
        <v>227</v>
      </c>
      <c r="H87" s="31">
        <v>223</v>
      </c>
      <c r="I87" s="31">
        <v>43443</v>
      </c>
      <c r="J87" s="31">
        <v>41005</v>
      </c>
      <c r="K87" s="31">
        <v>191</v>
      </c>
      <c r="L87" s="31" t="s">
        <v>20</v>
      </c>
      <c r="M87" s="31" t="s">
        <v>368</v>
      </c>
      <c r="N87" s="33">
        <f>(Table1[[#This Row],[Likes]]+Table1[[#This Row],[Shares]]+Table1[[#This Row],[Comments]])/Table1[[#This Row],[Impressions]]</f>
        <v>0.1087862256289851</v>
      </c>
      <c r="O87" s="31">
        <f>SUM(Table1[[#This Row],[Likes]:[Comments]])</f>
        <v>4726</v>
      </c>
    </row>
    <row r="88" spans="1:15" ht="15.75" customHeight="1">
      <c r="A88" s="31" t="s">
        <v>76</v>
      </c>
      <c r="B88" s="31" t="s">
        <v>14</v>
      </c>
      <c r="C88" s="32">
        <v>45401</v>
      </c>
      <c r="D88" s="31" t="s">
        <v>15</v>
      </c>
      <c r="E88" s="31" t="s">
        <v>25</v>
      </c>
      <c r="F88" s="31">
        <v>4001</v>
      </c>
      <c r="G88" s="31">
        <v>353</v>
      </c>
      <c r="H88" s="31">
        <v>129</v>
      </c>
      <c r="I88" s="31">
        <v>41265</v>
      </c>
      <c r="J88" s="31">
        <v>37279</v>
      </c>
      <c r="K88" s="31">
        <v>275</v>
      </c>
      <c r="L88" s="31" t="s">
        <v>41</v>
      </c>
      <c r="M88" s="31" t="s">
        <v>38</v>
      </c>
      <c r="N88" s="33">
        <f>(Table1[[#This Row],[Likes]]+Table1[[#This Row],[Shares]]+Table1[[#This Row],[Comments]])/Table1[[#This Row],[Impressions]]</f>
        <v>0.10863928268508422</v>
      </c>
      <c r="O88" s="31">
        <f>SUM(Table1[[#This Row],[Likes]:[Comments]])</f>
        <v>4483</v>
      </c>
    </row>
    <row r="89" spans="1:15" ht="15.75" customHeight="1">
      <c r="A89" s="31" t="s">
        <v>237</v>
      </c>
      <c r="B89" s="31" t="s">
        <v>23</v>
      </c>
      <c r="C89" s="32">
        <v>45302</v>
      </c>
      <c r="D89" s="31" t="s">
        <v>24</v>
      </c>
      <c r="E89" s="31" t="s">
        <v>27</v>
      </c>
      <c r="F89" s="31">
        <v>2340</v>
      </c>
      <c r="G89" s="31">
        <v>141</v>
      </c>
      <c r="H89" s="31">
        <v>206</v>
      </c>
      <c r="I89" s="31">
        <v>24916</v>
      </c>
      <c r="J89" s="31">
        <v>30582</v>
      </c>
      <c r="K89" s="31">
        <v>157</v>
      </c>
      <c r="L89" s="31" t="s">
        <v>41</v>
      </c>
      <c r="M89" s="31" t="s">
        <v>38</v>
      </c>
      <c r="N89" s="33">
        <f>(Table1[[#This Row],[Likes]]+Table1[[#This Row],[Shares]]+Table1[[#This Row],[Comments]])/Table1[[#This Row],[Impressions]]</f>
        <v>0.10784235029699792</v>
      </c>
      <c r="O89" s="31">
        <f>SUM(Table1[[#This Row],[Likes]:[Comments]])</f>
        <v>2687</v>
      </c>
    </row>
    <row r="90" spans="1:15" ht="15.75" customHeight="1">
      <c r="A90" s="31" t="s">
        <v>72</v>
      </c>
      <c r="B90" s="31" t="s">
        <v>23</v>
      </c>
      <c r="C90" s="32">
        <v>45804</v>
      </c>
      <c r="D90" s="31" t="s">
        <v>24</v>
      </c>
      <c r="E90" s="31" t="s">
        <v>19</v>
      </c>
      <c r="F90" s="31">
        <v>4095</v>
      </c>
      <c r="G90" s="31">
        <v>385</v>
      </c>
      <c r="H90" s="31">
        <v>400</v>
      </c>
      <c r="I90" s="31">
        <v>45300</v>
      </c>
      <c r="J90" s="31">
        <v>31795</v>
      </c>
      <c r="K90" s="31">
        <v>80</v>
      </c>
      <c r="L90" s="31" t="s">
        <v>368</v>
      </c>
      <c r="M90" s="31" t="s">
        <v>38</v>
      </c>
      <c r="N90" s="33">
        <f>(Table1[[#This Row],[Likes]]+Table1[[#This Row],[Shares]]+Table1[[#This Row],[Comments]])/Table1[[#This Row],[Impressions]]</f>
        <v>0.10772626931567329</v>
      </c>
      <c r="O90" s="31">
        <f>SUM(Table1[[#This Row],[Likes]:[Comments]])</f>
        <v>4880</v>
      </c>
    </row>
    <row r="91" spans="1:15" ht="15.75" customHeight="1">
      <c r="A91" s="31" t="s">
        <v>287</v>
      </c>
      <c r="B91" s="31" t="s">
        <v>29</v>
      </c>
      <c r="C91" s="32">
        <v>45591</v>
      </c>
      <c r="D91" s="31" t="s">
        <v>15</v>
      </c>
      <c r="E91" s="31" t="s">
        <v>25</v>
      </c>
      <c r="F91" s="31">
        <v>4676</v>
      </c>
      <c r="G91" s="31">
        <v>211</v>
      </c>
      <c r="H91" s="31">
        <v>55</v>
      </c>
      <c r="I91" s="31">
        <v>45917</v>
      </c>
      <c r="J91" s="31">
        <v>73503</v>
      </c>
      <c r="K91" s="31">
        <v>248</v>
      </c>
      <c r="L91" s="31" t="s">
        <v>20</v>
      </c>
      <c r="M91" s="31" t="s">
        <v>369</v>
      </c>
      <c r="N91" s="33">
        <f>(Table1[[#This Row],[Likes]]+Table1[[#This Row],[Shares]]+Table1[[#This Row],[Comments]])/Table1[[#This Row],[Impressions]]</f>
        <v>0.10762898272970794</v>
      </c>
      <c r="O91" s="31">
        <f>SUM(Table1[[#This Row],[Likes]:[Comments]])</f>
        <v>4942</v>
      </c>
    </row>
    <row r="92" spans="1:15" ht="15.75" customHeight="1">
      <c r="A92" s="31" t="s">
        <v>230</v>
      </c>
      <c r="B92" s="31" t="s">
        <v>29</v>
      </c>
      <c r="C92" s="32">
        <v>45305</v>
      </c>
      <c r="D92" s="31" t="s">
        <v>15</v>
      </c>
      <c r="E92" s="31" t="s">
        <v>25</v>
      </c>
      <c r="F92" s="31">
        <v>3634</v>
      </c>
      <c r="G92" s="31">
        <v>280</v>
      </c>
      <c r="H92" s="31">
        <v>399</v>
      </c>
      <c r="I92" s="31">
        <v>40256</v>
      </c>
      <c r="J92" s="31">
        <v>52605</v>
      </c>
      <c r="K92" s="31">
        <v>213</v>
      </c>
      <c r="L92" s="31" t="s">
        <v>20</v>
      </c>
      <c r="M92" s="31" t="s">
        <v>369</v>
      </c>
      <c r="N92" s="33">
        <f>(Table1[[#This Row],[Likes]]+Table1[[#This Row],[Shares]]+Table1[[#This Row],[Comments]])/Table1[[#This Row],[Impressions]]</f>
        <v>0.10713930842607314</v>
      </c>
      <c r="O92" s="31">
        <f>SUM(Table1[[#This Row],[Likes]:[Comments]])</f>
        <v>4313</v>
      </c>
    </row>
    <row r="93" spans="1:15" ht="15.75" customHeight="1">
      <c r="A93" s="31" t="s">
        <v>183</v>
      </c>
      <c r="B93" s="31" t="s">
        <v>23</v>
      </c>
      <c r="C93" s="32">
        <v>45696</v>
      </c>
      <c r="D93" s="31" t="s">
        <v>24</v>
      </c>
      <c r="E93" s="31" t="s">
        <v>47</v>
      </c>
      <c r="F93" s="31">
        <v>4752</v>
      </c>
      <c r="G93" s="31">
        <v>334</v>
      </c>
      <c r="H93" s="31">
        <v>56</v>
      </c>
      <c r="I93" s="31">
        <v>48017</v>
      </c>
      <c r="J93" s="31">
        <v>55534</v>
      </c>
      <c r="K93" s="31">
        <v>270</v>
      </c>
      <c r="L93" s="31" t="s">
        <v>20</v>
      </c>
      <c r="M93" s="31" t="s">
        <v>368</v>
      </c>
      <c r="N93" s="33">
        <f>(Table1[[#This Row],[Likes]]+Table1[[#This Row],[Shares]]+Table1[[#This Row],[Comments]])/Table1[[#This Row],[Impressions]]</f>
        <v>0.10708707332819627</v>
      </c>
      <c r="O93" s="31">
        <f>SUM(Table1[[#This Row],[Likes]:[Comments]])</f>
        <v>5142</v>
      </c>
    </row>
    <row r="94" spans="1:15" ht="15.75" customHeight="1">
      <c r="A94" s="31" t="s">
        <v>105</v>
      </c>
      <c r="B94" s="31" t="s">
        <v>23</v>
      </c>
      <c r="C94" s="32">
        <v>45662</v>
      </c>
      <c r="D94" s="31" t="s">
        <v>15</v>
      </c>
      <c r="E94" s="31" t="s">
        <v>27</v>
      </c>
      <c r="F94" s="31">
        <v>4811</v>
      </c>
      <c r="G94" s="31">
        <v>473</v>
      </c>
      <c r="H94" s="31">
        <v>254</v>
      </c>
      <c r="I94" s="31">
        <v>51964</v>
      </c>
      <c r="J94" s="31">
        <v>68795</v>
      </c>
      <c r="K94" s="31">
        <v>107</v>
      </c>
      <c r="L94" s="31" t="s">
        <v>38</v>
      </c>
      <c r="M94" s="31"/>
      <c r="N94" s="33">
        <f>(Table1[[#This Row],[Likes]]+Table1[[#This Row],[Shares]]+Table1[[#This Row],[Comments]])/Table1[[#This Row],[Impressions]]</f>
        <v>0.10657378184897237</v>
      </c>
      <c r="O94" s="31">
        <f>SUM(Table1[[#This Row],[Likes]:[Comments]])</f>
        <v>5538</v>
      </c>
    </row>
    <row r="95" spans="1:15" ht="15.75" customHeight="1">
      <c r="A95" s="31" t="s">
        <v>200</v>
      </c>
      <c r="B95" s="31" t="s">
        <v>14</v>
      </c>
      <c r="C95" s="32">
        <v>45420</v>
      </c>
      <c r="D95" s="31" t="s">
        <v>24</v>
      </c>
      <c r="E95" s="31" t="s">
        <v>30</v>
      </c>
      <c r="F95" s="31">
        <v>2414</v>
      </c>
      <c r="G95" s="31">
        <v>220</v>
      </c>
      <c r="H95" s="31">
        <v>280</v>
      </c>
      <c r="I95" s="31">
        <v>27355</v>
      </c>
      <c r="J95" s="31">
        <v>50562</v>
      </c>
      <c r="K95" s="31">
        <v>258</v>
      </c>
      <c r="L95" s="31" t="s">
        <v>38</v>
      </c>
      <c r="M95" s="31"/>
      <c r="N95" s="33">
        <f>(Table1[[#This Row],[Likes]]+Table1[[#This Row],[Shares]]+Table1[[#This Row],[Comments]])/Table1[[#This Row],[Impressions]]</f>
        <v>0.10652531529884847</v>
      </c>
      <c r="O95" s="31">
        <f>SUM(Table1[[#This Row],[Likes]:[Comments]])</f>
        <v>2914</v>
      </c>
    </row>
    <row r="96" spans="1:15" ht="15.75" customHeight="1">
      <c r="A96" s="31" t="s">
        <v>92</v>
      </c>
      <c r="B96" s="31" t="s">
        <v>14</v>
      </c>
      <c r="C96" s="32">
        <v>45299</v>
      </c>
      <c r="D96" s="31" t="s">
        <v>15</v>
      </c>
      <c r="E96" s="31" t="s">
        <v>37</v>
      </c>
      <c r="F96" s="31">
        <v>2683</v>
      </c>
      <c r="G96" s="31">
        <v>405</v>
      </c>
      <c r="H96" s="31">
        <v>223</v>
      </c>
      <c r="I96" s="31">
        <v>31233</v>
      </c>
      <c r="J96" s="31">
        <v>58106</v>
      </c>
      <c r="K96" s="31">
        <v>291</v>
      </c>
      <c r="L96" s="31" t="s">
        <v>20</v>
      </c>
      <c r="M96" s="31"/>
      <c r="N96" s="33">
        <f>(Table1[[#This Row],[Likes]]+Table1[[#This Row],[Shares]]+Table1[[#This Row],[Comments]])/Table1[[#This Row],[Impressions]]</f>
        <v>0.10600966926007749</v>
      </c>
      <c r="O96" s="31">
        <f>SUM(Table1[[#This Row],[Likes]:[Comments]])</f>
        <v>3311</v>
      </c>
    </row>
    <row r="97" spans="1:15" ht="15.75" customHeight="1">
      <c r="A97" s="31" t="s">
        <v>132</v>
      </c>
      <c r="B97" s="31" t="s">
        <v>14</v>
      </c>
      <c r="C97" s="32">
        <v>45317</v>
      </c>
      <c r="D97" s="31" t="s">
        <v>15</v>
      </c>
      <c r="E97" s="31" t="s">
        <v>32</v>
      </c>
      <c r="F97" s="31">
        <v>3878</v>
      </c>
      <c r="G97" s="31">
        <v>431</v>
      </c>
      <c r="H97" s="31">
        <v>97</v>
      </c>
      <c r="I97" s="31">
        <v>41763</v>
      </c>
      <c r="J97" s="31">
        <v>29729</v>
      </c>
      <c r="K97" s="31">
        <v>191</v>
      </c>
      <c r="L97" s="31" t="s">
        <v>20</v>
      </c>
      <c r="M97" s="31"/>
      <c r="N97" s="33">
        <f>(Table1[[#This Row],[Likes]]+Table1[[#This Row],[Shares]]+Table1[[#This Row],[Comments]])/Table1[[#This Row],[Impressions]]</f>
        <v>0.10550008380623997</v>
      </c>
      <c r="O97" s="31">
        <f>SUM(Table1[[#This Row],[Likes]:[Comments]])</f>
        <v>4406</v>
      </c>
    </row>
    <row r="98" spans="1:15" ht="15.75" customHeight="1">
      <c r="A98" s="31" t="s">
        <v>275</v>
      </c>
      <c r="B98" s="31" t="s">
        <v>29</v>
      </c>
      <c r="C98" s="32">
        <v>45533</v>
      </c>
      <c r="D98" s="31" t="s">
        <v>15</v>
      </c>
      <c r="E98" s="31" t="s">
        <v>27</v>
      </c>
      <c r="F98" s="31">
        <v>4774</v>
      </c>
      <c r="G98" s="31">
        <v>389</v>
      </c>
      <c r="H98" s="31">
        <v>358</v>
      </c>
      <c r="I98" s="31">
        <v>52346</v>
      </c>
      <c r="J98" s="31">
        <v>30518</v>
      </c>
      <c r="K98" s="31">
        <v>277</v>
      </c>
      <c r="L98" s="31" t="s">
        <v>20</v>
      </c>
      <c r="M98" s="31" t="s">
        <v>369</v>
      </c>
      <c r="N98" s="33">
        <f>(Table1[[#This Row],[Likes]]+Table1[[#This Row],[Shares]]+Table1[[#This Row],[Comments]])/Table1[[#This Row],[Impressions]]</f>
        <v>0.10547128720437092</v>
      </c>
      <c r="O98" s="31">
        <f>SUM(Table1[[#This Row],[Likes]:[Comments]])</f>
        <v>5521</v>
      </c>
    </row>
    <row r="99" spans="1:15" ht="15.75" customHeight="1">
      <c r="A99" s="31" t="s">
        <v>323</v>
      </c>
      <c r="B99" s="31" t="s">
        <v>23</v>
      </c>
      <c r="C99" s="32">
        <v>45513</v>
      </c>
      <c r="D99" s="31" t="s">
        <v>24</v>
      </c>
      <c r="E99" s="31" t="s">
        <v>45</v>
      </c>
      <c r="F99" s="31">
        <v>4877</v>
      </c>
      <c r="G99" s="31">
        <v>442</v>
      </c>
      <c r="H99" s="31">
        <v>236</v>
      </c>
      <c r="I99" s="31">
        <v>52673</v>
      </c>
      <c r="J99" s="31">
        <v>48241</v>
      </c>
      <c r="K99" s="31">
        <v>114</v>
      </c>
      <c r="L99" s="31" t="s">
        <v>20</v>
      </c>
      <c r="M99" s="31" t="s">
        <v>368</v>
      </c>
      <c r="N99" s="33">
        <f>(Table1[[#This Row],[Likes]]+Table1[[#This Row],[Shares]]+Table1[[#This Row],[Comments]])/Table1[[#This Row],[Impressions]]</f>
        <v>0.10546200140489435</v>
      </c>
      <c r="O99" s="31">
        <f>SUM(Table1[[#This Row],[Likes]:[Comments]])</f>
        <v>5555</v>
      </c>
    </row>
    <row r="100" spans="1:15" ht="15.75" customHeight="1">
      <c r="A100" s="31" t="s">
        <v>163</v>
      </c>
      <c r="B100" s="31" t="s">
        <v>14</v>
      </c>
      <c r="C100" s="32">
        <v>45344</v>
      </c>
      <c r="D100" s="31" t="s">
        <v>15</v>
      </c>
      <c r="E100" s="31" t="s">
        <v>25</v>
      </c>
      <c r="F100" s="31">
        <v>1902</v>
      </c>
      <c r="G100" s="31">
        <v>394</v>
      </c>
      <c r="H100" s="31">
        <v>279</v>
      </c>
      <c r="I100" s="31">
        <v>24615</v>
      </c>
      <c r="J100" s="31">
        <v>51330</v>
      </c>
      <c r="K100" s="31">
        <v>176</v>
      </c>
      <c r="L100" s="31" t="s">
        <v>41</v>
      </c>
      <c r="M100" s="31" t="s">
        <v>38</v>
      </c>
      <c r="N100" s="33">
        <f>(Table1[[#This Row],[Likes]]+Table1[[#This Row],[Shares]]+Table1[[#This Row],[Comments]])/Table1[[#This Row],[Impressions]]</f>
        <v>0.10461100954702417</v>
      </c>
      <c r="O100" s="31">
        <f>SUM(Table1[[#This Row],[Likes]:[Comments]])</f>
        <v>2575</v>
      </c>
    </row>
    <row r="101" spans="1:15" ht="15.75" customHeight="1">
      <c r="A101" s="31" t="s">
        <v>190</v>
      </c>
      <c r="B101" s="31" t="s">
        <v>14</v>
      </c>
      <c r="C101" s="32">
        <v>45407</v>
      </c>
      <c r="D101" s="31" t="s">
        <v>15</v>
      </c>
      <c r="E101" s="31" t="s">
        <v>30</v>
      </c>
      <c r="F101" s="31">
        <v>3563</v>
      </c>
      <c r="G101" s="31">
        <v>483</v>
      </c>
      <c r="H101" s="31">
        <v>227</v>
      </c>
      <c r="I101" s="31">
        <v>41085</v>
      </c>
      <c r="J101" s="31">
        <v>26393</v>
      </c>
      <c r="K101" s="31">
        <v>236</v>
      </c>
      <c r="L101" s="31" t="s">
        <v>41</v>
      </c>
      <c r="M101" s="31" t="s">
        <v>38</v>
      </c>
      <c r="N101" s="33">
        <f>(Table1[[#This Row],[Likes]]+Table1[[#This Row],[Shares]]+Table1[[#This Row],[Comments]])/Table1[[#This Row],[Impressions]]</f>
        <v>0.10400389436534015</v>
      </c>
      <c r="O101" s="31">
        <f>SUM(Table1[[#This Row],[Likes]:[Comments]])</f>
        <v>4273</v>
      </c>
    </row>
    <row r="102" spans="1:15" ht="15.75" customHeight="1">
      <c r="A102" s="31" t="s">
        <v>65</v>
      </c>
      <c r="B102" s="31" t="s">
        <v>23</v>
      </c>
      <c r="C102" s="32">
        <v>45773</v>
      </c>
      <c r="D102" s="31" t="s">
        <v>15</v>
      </c>
      <c r="E102" s="31" t="s">
        <v>16</v>
      </c>
      <c r="F102" s="31">
        <v>2411</v>
      </c>
      <c r="G102" s="31">
        <v>194</v>
      </c>
      <c r="H102" s="31">
        <v>168</v>
      </c>
      <c r="I102" s="31">
        <v>26665</v>
      </c>
      <c r="J102" s="31">
        <v>71699</v>
      </c>
      <c r="K102" s="31">
        <v>197</v>
      </c>
      <c r="L102" s="31" t="s">
        <v>38</v>
      </c>
      <c r="M102" s="31"/>
      <c r="N102" s="33">
        <f>(Table1[[#This Row],[Likes]]+Table1[[#This Row],[Shares]]+Table1[[#This Row],[Comments]])/Table1[[#This Row],[Impressions]]</f>
        <v>0.10399399962497656</v>
      </c>
      <c r="O102" s="31">
        <f>SUM(Table1[[#This Row],[Likes]:[Comments]])</f>
        <v>2773</v>
      </c>
    </row>
    <row r="103" spans="1:15" ht="15.75" customHeight="1">
      <c r="A103" s="31" t="s">
        <v>324</v>
      </c>
      <c r="B103" s="31" t="s">
        <v>14</v>
      </c>
      <c r="C103" s="32">
        <v>45678</v>
      </c>
      <c r="D103" s="31" t="s">
        <v>24</v>
      </c>
      <c r="E103" s="31" t="s">
        <v>25</v>
      </c>
      <c r="F103" s="31">
        <v>4918</v>
      </c>
      <c r="G103" s="31">
        <v>440</v>
      </c>
      <c r="H103" s="31">
        <v>149</v>
      </c>
      <c r="I103" s="31">
        <v>53269</v>
      </c>
      <c r="J103" s="31">
        <v>64370</v>
      </c>
      <c r="K103" s="31">
        <v>269</v>
      </c>
      <c r="L103" s="31" t="s">
        <v>38</v>
      </c>
      <c r="M103" s="31"/>
      <c r="N103" s="33">
        <f>(Table1[[#This Row],[Likes]]+Table1[[#This Row],[Shares]]+Table1[[#This Row],[Comments]])/Table1[[#This Row],[Impressions]]</f>
        <v>0.10338095327488783</v>
      </c>
      <c r="O103" s="31">
        <f>SUM(Table1[[#This Row],[Likes]:[Comments]])</f>
        <v>5507</v>
      </c>
    </row>
    <row r="104" spans="1:15" ht="15.75" customHeight="1">
      <c r="A104" s="31" t="s">
        <v>209</v>
      </c>
      <c r="B104" s="31" t="s">
        <v>29</v>
      </c>
      <c r="C104" s="32">
        <v>45749</v>
      </c>
      <c r="D104" s="31" t="s">
        <v>15</v>
      </c>
      <c r="E104" s="31" t="s">
        <v>27</v>
      </c>
      <c r="F104" s="31">
        <v>4598</v>
      </c>
      <c r="G104" s="31">
        <v>455</v>
      </c>
      <c r="H104" s="31">
        <v>378</v>
      </c>
      <c r="I104" s="31">
        <v>52952</v>
      </c>
      <c r="J104" s="31">
        <v>58504</v>
      </c>
      <c r="K104" s="31">
        <v>269</v>
      </c>
      <c r="L104" s="31" t="s">
        <v>20</v>
      </c>
      <c r="M104" s="31" t="s">
        <v>369</v>
      </c>
      <c r="N104" s="33">
        <f>(Table1[[#This Row],[Likes]]+Table1[[#This Row],[Shares]]+Table1[[#This Row],[Comments]])/Table1[[#This Row],[Impressions]]</f>
        <v>0.10256458679558846</v>
      </c>
      <c r="O104" s="31">
        <f>SUM(Table1[[#This Row],[Likes]:[Comments]])</f>
        <v>5431</v>
      </c>
    </row>
    <row r="105" spans="1:15" ht="15.75" customHeight="1">
      <c r="A105" s="31" t="s">
        <v>86</v>
      </c>
      <c r="B105" s="31" t="s">
        <v>29</v>
      </c>
      <c r="C105" s="32">
        <v>45425</v>
      </c>
      <c r="D105" s="31" t="s">
        <v>53</v>
      </c>
      <c r="E105" s="31" t="s">
        <v>19</v>
      </c>
      <c r="F105" s="31">
        <v>4161</v>
      </c>
      <c r="G105" s="31">
        <v>481</v>
      </c>
      <c r="H105" s="31">
        <v>61</v>
      </c>
      <c r="I105" s="31">
        <v>45884</v>
      </c>
      <c r="J105" s="31">
        <v>48955</v>
      </c>
      <c r="K105" s="31">
        <v>215</v>
      </c>
      <c r="L105" s="31" t="s">
        <v>20</v>
      </c>
      <c r="M105" s="31" t="s">
        <v>41</v>
      </c>
      <c r="N105" s="33">
        <f>(Table1[[#This Row],[Likes]]+Table1[[#This Row],[Shares]]+Table1[[#This Row],[Comments]])/Table1[[#This Row],[Impressions]]</f>
        <v>0.10249760265016128</v>
      </c>
      <c r="O105" s="31">
        <f>SUM(Table1[[#This Row],[Likes]:[Comments]])</f>
        <v>4703</v>
      </c>
    </row>
    <row r="106" spans="1:15" ht="15.75" customHeight="1">
      <c r="A106" s="31" t="s">
        <v>226</v>
      </c>
      <c r="B106" s="31" t="s">
        <v>29</v>
      </c>
      <c r="C106" s="32">
        <v>45346</v>
      </c>
      <c r="D106" s="31" t="s">
        <v>53</v>
      </c>
      <c r="E106" s="31" t="s">
        <v>16</v>
      </c>
      <c r="F106" s="31">
        <v>4221</v>
      </c>
      <c r="G106" s="31">
        <v>307</v>
      </c>
      <c r="H106" s="31">
        <v>58</v>
      </c>
      <c r="I106" s="31">
        <v>45080</v>
      </c>
      <c r="J106" s="31">
        <v>37214</v>
      </c>
      <c r="K106" s="31">
        <v>240</v>
      </c>
      <c r="L106" s="31" t="s">
        <v>20</v>
      </c>
      <c r="M106" s="31" t="s">
        <v>41</v>
      </c>
      <c r="N106" s="33">
        <f>(Table1[[#This Row],[Likes]]+Table1[[#This Row],[Shares]]+Table1[[#This Row],[Comments]])/Table1[[#This Row],[Impressions]]</f>
        <v>0.10173025732031943</v>
      </c>
      <c r="O106" s="31">
        <f>SUM(Table1[[#This Row],[Likes]:[Comments]])</f>
        <v>4586</v>
      </c>
    </row>
    <row r="107" spans="1:15" ht="15.75" customHeight="1">
      <c r="A107" s="31" t="s">
        <v>203</v>
      </c>
      <c r="B107" s="31" t="s">
        <v>14</v>
      </c>
      <c r="C107" s="32">
        <v>45385</v>
      </c>
      <c r="D107" s="31" t="s">
        <v>15</v>
      </c>
      <c r="E107" s="31" t="s">
        <v>37</v>
      </c>
      <c r="F107" s="31">
        <v>2762</v>
      </c>
      <c r="G107" s="31">
        <v>339</v>
      </c>
      <c r="H107" s="31">
        <v>323</v>
      </c>
      <c r="I107" s="31">
        <v>33757</v>
      </c>
      <c r="J107" s="31">
        <v>68511</v>
      </c>
      <c r="K107" s="31">
        <v>121</v>
      </c>
      <c r="L107" s="31" t="s">
        <v>41</v>
      </c>
      <c r="M107" s="31" t="s">
        <v>38</v>
      </c>
      <c r="N107" s="33">
        <f>(Table1[[#This Row],[Likes]]+Table1[[#This Row],[Shares]]+Table1[[#This Row],[Comments]])/Table1[[#This Row],[Impressions]]</f>
        <v>0.10143081434961637</v>
      </c>
      <c r="O107" s="31">
        <f>SUM(Table1[[#This Row],[Likes]:[Comments]])</f>
        <v>3424</v>
      </c>
    </row>
    <row r="108" spans="1:15" ht="15.75" customHeight="1">
      <c r="A108" s="31" t="s">
        <v>135</v>
      </c>
      <c r="B108" s="31" t="s">
        <v>14</v>
      </c>
      <c r="C108" s="32">
        <v>45494</v>
      </c>
      <c r="D108" s="31" t="s">
        <v>15</v>
      </c>
      <c r="E108" s="31" t="s">
        <v>16</v>
      </c>
      <c r="F108" s="31">
        <v>3004</v>
      </c>
      <c r="G108" s="31">
        <v>415</v>
      </c>
      <c r="H108" s="31">
        <v>218</v>
      </c>
      <c r="I108" s="31">
        <v>36090</v>
      </c>
      <c r="J108" s="31">
        <v>37073</v>
      </c>
      <c r="K108" s="31">
        <v>181</v>
      </c>
      <c r="L108" s="31" t="s">
        <v>20</v>
      </c>
      <c r="M108" s="31"/>
      <c r="N108" s="33">
        <f>(Table1[[#This Row],[Likes]]+Table1[[#This Row],[Shares]]+Table1[[#This Row],[Comments]])/Table1[[#This Row],[Impressions]]</f>
        <v>0.10077583818232197</v>
      </c>
      <c r="O108" s="31">
        <f>SUM(Table1[[#This Row],[Likes]:[Comments]])</f>
        <v>3637</v>
      </c>
    </row>
    <row r="109" spans="1:15" ht="15.75" customHeight="1">
      <c r="A109" s="31" t="s">
        <v>208</v>
      </c>
      <c r="B109" s="31" t="s">
        <v>14</v>
      </c>
      <c r="C109" s="32">
        <v>45447</v>
      </c>
      <c r="D109" s="31" t="s">
        <v>15</v>
      </c>
      <c r="E109" s="31" t="s">
        <v>34</v>
      </c>
      <c r="F109" s="31">
        <v>3948</v>
      </c>
      <c r="G109" s="31">
        <v>151</v>
      </c>
      <c r="H109" s="31">
        <v>249</v>
      </c>
      <c r="I109" s="31">
        <v>43147</v>
      </c>
      <c r="J109" s="31">
        <v>63136</v>
      </c>
      <c r="K109" s="31">
        <v>230</v>
      </c>
      <c r="L109" s="31" t="s">
        <v>20</v>
      </c>
      <c r="M109" s="31"/>
      <c r="N109" s="33">
        <f>(Table1[[#This Row],[Likes]]+Table1[[#This Row],[Shares]]+Table1[[#This Row],[Comments]])/Table1[[#This Row],[Impressions]]</f>
        <v>0.10077178019329269</v>
      </c>
      <c r="O109" s="31">
        <f>SUM(Table1[[#This Row],[Likes]:[Comments]])</f>
        <v>4348</v>
      </c>
    </row>
    <row r="110" spans="1:15" ht="15.75" customHeight="1">
      <c r="A110" s="31" t="s">
        <v>124</v>
      </c>
      <c r="B110" s="31" t="s">
        <v>14</v>
      </c>
      <c r="C110" s="32">
        <v>45630</v>
      </c>
      <c r="D110" s="31" t="s">
        <v>15</v>
      </c>
      <c r="E110" s="31" t="s">
        <v>27</v>
      </c>
      <c r="F110" s="31">
        <v>2601</v>
      </c>
      <c r="G110" s="31">
        <v>336</v>
      </c>
      <c r="H110" s="31">
        <v>260</v>
      </c>
      <c r="I110" s="31">
        <v>32368</v>
      </c>
      <c r="J110" s="31">
        <v>49028</v>
      </c>
      <c r="K110" s="31">
        <v>120</v>
      </c>
      <c r="L110" s="31" t="s">
        <v>41</v>
      </c>
      <c r="M110" s="31" t="s">
        <v>38</v>
      </c>
      <c r="N110" s="33">
        <f>(Table1[[#This Row],[Likes]]+Table1[[#This Row],[Shares]]+Table1[[#This Row],[Comments]])/Table1[[#This Row],[Impressions]]</f>
        <v>9.8770390509144837E-2</v>
      </c>
      <c r="O110" s="31">
        <f>SUM(Table1[[#This Row],[Likes]:[Comments]])</f>
        <v>3197</v>
      </c>
    </row>
    <row r="111" spans="1:15" ht="15.75" customHeight="1">
      <c r="A111" s="31" t="s">
        <v>316</v>
      </c>
      <c r="B111" s="31" t="s">
        <v>14</v>
      </c>
      <c r="C111" s="32">
        <v>45298</v>
      </c>
      <c r="D111" s="31" t="s">
        <v>15</v>
      </c>
      <c r="E111" s="31" t="s">
        <v>37</v>
      </c>
      <c r="F111" s="31">
        <v>4931</v>
      </c>
      <c r="G111" s="31">
        <v>469</v>
      </c>
      <c r="H111" s="31">
        <v>193</v>
      </c>
      <c r="I111" s="31">
        <v>56701</v>
      </c>
      <c r="J111" s="31">
        <v>69437</v>
      </c>
      <c r="K111" s="31">
        <v>291</v>
      </c>
      <c r="L111" s="31" t="s">
        <v>41</v>
      </c>
      <c r="M111" s="31" t="s">
        <v>38</v>
      </c>
      <c r="N111" s="33">
        <f>(Table1[[#This Row],[Likes]]+Table1[[#This Row],[Shares]]+Table1[[#This Row],[Comments]])/Table1[[#This Row],[Impressions]]</f>
        <v>9.8640235621946709E-2</v>
      </c>
      <c r="O111" s="31">
        <f>SUM(Table1[[#This Row],[Likes]:[Comments]])</f>
        <v>5593</v>
      </c>
    </row>
    <row r="112" spans="1:15" ht="15.75" customHeight="1">
      <c r="A112" s="31" t="s">
        <v>223</v>
      </c>
      <c r="B112" s="31" t="s">
        <v>14</v>
      </c>
      <c r="C112" s="32">
        <v>45814</v>
      </c>
      <c r="D112" s="31" t="s">
        <v>15</v>
      </c>
      <c r="E112" s="31" t="s">
        <v>27</v>
      </c>
      <c r="F112" s="31">
        <v>3987</v>
      </c>
      <c r="G112" s="31">
        <v>171</v>
      </c>
      <c r="H112" s="31">
        <v>274</v>
      </c>
      <c r="I112" s="31">
        <v>45122</v>
      </c>
      <c r="J112" s="31">
        <v>65431</v>
      </c>
      <c r="K112" s="31">
        <v>168</v>
      </c>
      <c r="L112" s="31" t="s">
        <v>20</v>
      </c>
      <c r="M112" s="31"/>
      <c r="N112" s="33">
        <f>(Table1[[#This Row],[Likes]]+Table1[[#This Row],[Shares]]+Table1[[#This Row],[Comments]])/Table1[[#This Row],[Impressions]]</f>
        <v>9.8222596516111871E-2</v>
      </c>
      <c r="O112" s="31">
        <f>SUM(Table1[[#This Row],[Likes]:[Comments]])</f>
        <v>4432</v>
      </c>
    </row>
    <row r="113" spans="1:15" ht="15.75" customHeight="1">
      <c r="A113" s="31" t="s">
        <v>278</v>
      </c>
      <c r="B113" s="31" t="s">
        <v>23</v>
      </c>
      <c r="C113" s="32">
        <v>45636</v>
      </c>
      <c r="D113" s="31" t="s">
        <v>24</v>
      </c>
      <c r="E113" s="31" t="s">
        <v>27</v>
      </c>
      <c r="F113" s="31">
        <v>2267</v>
      </c>
      <c r="G113" s="31">
        <v>230</v>
      </c>
      <c r="H113" s="31">
        <v>243</v>
      </c>
      <c r="I113" s="31">
        <v>27904</v>
      </c>
      <c r="J113" s="31">
        <v>69771</v>
      </c>
      <c r="K113" s="31">
        <v>255</v>
      </c>
      <c r="L113" s="31" t="s">
        <v>20</v>
      </c>
      <c r="M113" s="31" t="s">
        <v>368</v>
      </c>
      <c r="N113" s="33">
        <f>(Table1[[#This Row],[Likes]]+Table1[[#This Row],[Shares]]+Table1[[#This Row],[Comments]])/Table1[[#This Row],[Impressions]]</f>
        <v>9.8193807339449546E-2</v>
      </c>
      <c r="O113" s="31">
        <f>SUM(Table1[[#This Row],[Likes]:[Comments]])</f>
        <v>2740</v>
      </c>
    </row>
    <row r="114" spans="1:15" ht="15.75" customHeight="1">
      <c r="A114" s="31" t="s">
        <v>82</v>
      </c>
      <c r="B114" s="31" t="s">
        <v>29</v>
      </c>
      <c r="C114" s="32">
        <v>45365</v>
      </c>
      <c r="D114" s="31" t="s">
        <v>53</v>
      </c>
      <c r="E114" s="31" t="s">
        <v>45</v>
      </c>
      <c r="F114" s="31">
        <v>3361</v>
      </c>
      <c r="G114" s="31">
        <v>188</v>
      </c>
      <c r="H114" s="31">
        <v>358</v>
      </c>
      <c r="I114" s="31">
        <v>39838</v>
      </c>
      <c r="J114" s="31">
        <v>24536</v>
      </c>
      <c r="K114" s="31">
        <v>120</v>
      </c>
      <c r="L114" s="31" t="s">
        <v>20</v>
      </c>
      <c r="M114" s="31" t="s">
        <v>41</v>
      </c>
      <c r="N114" s="33">
        <f>(Table1[[#This Row],[Likes]]+Table1[[#This Row],[Shares]]+Table1[[#This Row],[Comments]])/Table1[[#This Row],[Impressions]]</f>
        <v>9.8072192379135503E-2</v>
      </c>
      <c r="O114" s="31">
        <f>SUM(Table1[[#This Row],[Likes]:[Comments]])</f>
        <v>3907</v>
      </c>
    </row>
    <row r="115" spans="1:15" ht="15.75" customHeight="1">
      <c r="A115" s="31" t="s">
        <v>206</v>
      </c>
      <c r="B115" s="31" t="s">
        <v>14</v>
      </c>
      <c r="C115" s="32">
        <v>45536</v>
      </c>
      <c r="D115" s="31" t="s">
        <v>24</v>
      </c>
      <c r="E115" s="31" t="s">
        <v>27</v>
      </c>
      <c r="F115" s="31">
        <v>2335</v>
      </c>
      <c r="G115" s="31">
        <v>150</v>
      </c>
      <c r="H115" s="31">
        <v>75</v>
      </c>
      <c r="I115" s="31">
        <v>26114</v>
      </c>
      <c r="J115" s="31">
        <v>57549</v>
      </c>
      <c r="K115" s="31">
        <v>135</v>
      </c>
      <c r="L115" s="31" t="s">
        <v>38</v>
      </c>
      <c r="M115" s="31"/>
      <c r="N115" s="33">
        <f>(Table1[[#This Row],[Likes]]+Table1[[#This Row],[Shares]]+Table1[[#This Row],[Comments]])/Table1[[#This Row],[Impressions]]</f>
        <v>9.8031707130274953E-2</v>
      </c>
      <c r="O115" s="31">
        <f>SUM(Table1[[#This Row],[Likes]:[Comments]])</f>
        <v>2560</v>
      </c>
    </row>
    <row r="116" spans="1:15" ht="15.75" customHeight="1">
      <c r="A116" s="31" t="s">
        <v>239</v>
      </c>
      <c r="B116" s="31" t="s">
        <v>23</v>
      </c>
      <c r="C116" s="32">
        <v>45656</v>
      </c>
      <c r="D116" s="31" t="s">
        <v>15</v>
      </c>
      <c r="E116" s="31" t="s">
        <v>34</v>
      </c>
      <c r="F116" s="31">
        <v>4214</v>
      </c>
      <c r="G116" s="31">
        <v>286</v>
      </c>
      <c r="H116" s="31">
        <v>127</v>
      </c>
      <c r="I116" s="31">
        <v>47293</v>
      </c>
      <c r="J116" s="31">
        <v>27184</v>
      </c>
      <c r="K116" s="31">
        <v>232</v>
      </c>
      <c r="L116" s="31" t="s">
        <v>38</v>
      </c>
      <c r="M116" s="31"/>
      <c r="N116" s="33">
        <f>(Table1[[#This Row],[Likes]]+Table1[[#This Row],[Shares]]+Table1[[#This Row],[Comments]])/Table1[[#This Row],[Impressions]]</f>
        <v>9.7836889180216949E-2</v>
      </c>
      <c r="O116" s="31">
        <f>SUM(Table1[[#This Row],[Likes]:[Comments]])</f>
        <v>4627</v>
      </c>
    </row>
    <row r="117" spans="1:15" ht="15.75" customHeight="1">
      <c r="A117" s="31" t="s">
        <v>70</v>
      </c>
      <c r="B117" s="31" t="s">
        <v>23</v>
      </c>
      <c r="C117" s="32">
        <v>45785</v>
      </c>
      <c r="D117" s="31" t="s">
        <v>24</v>
      </c>
      <c r="E117" s="31" t="s">
        <v>47</v>
      </c>
      <c r="F117" s="31">
        <v>3316</v>
      </c>
      <c r="G117" s="31">
        <v>332</v>
      </c>
      <c r="H117" s="31">
        <v>268</v>
      </c>
      <c r="I117" s="31">
        <v>40095</v>
      </c>
      <c r="J117" s="31">
        <v>36913</v>
      </c>
      <c r="K117" s="31">
        <v>265</v>
      </c>
      <c r="L117" s="31" t="s">
        <v>368</v>
      </c>
      <c r="M117" s="31" t="s">
        <v>38</v>
      </c>
      <c r="N117" s="33">
        <f>(Table1[[#This Row],[Likes]]+Table1[[#This Row],[Shares]]+Table1[[#This Row],[Comments]])/Table1[[#This Row],[Impressions]]</f>
        <v>9.7668038408779148E-2</v>
      </c>
      <c r="O117" s="31">
        <f>SUM(Table1[[#This Row],[Likes]:[Comments]])</f>
        <v>3916</v>
      </c>
    </row>
    <row r="118" spans="1:15" ht="15.75" customHeight="1">
      <c r="A118" s="31" t="s">
        <v>170</v>
      </c>
      <c r="B118" s="31" t="s">
        <v>23</v>
      </c>
      <c r="C118" s="32">
        <v>45569</v>
      </c>
      <c r="D118" s="31" t="s">
        <v>24</v>
      </c>
      <c r="E118" s="31" t="s">
        <v>19</v>
      </c>
      <c r="F118" s="31">
        <v>2870</v>
      </c>
      <c r="G118" s="31">
        <v>380</v>
      </c>
      <c r="H118" s="31">
        <v>393</v>
      </c>
      <c r="I118" s="31">
        <v>37621</v>
      </c>
      <c r="J118" s="31">
        <v>71794</v>
      </c>
      <c r="K118" s="31">
        <v>127</v>
      </c>
      <c r="L118" s="31" t="s">
        <v>368</v>
      </c>
      <c r="M118" s="31" t="s">
        <v>38</v>
      </c>
      <c r="N118" s="33">
        <f>(Table1[[#This Row],[Likes]]+Table1[[#This Row],[Shares]]+Table1[[#This Row],[Comments]])/Table1[[#This Row],[Impressions]]</f>
        <v>9.6834214933149046E-2</v>
      </c>
      <c r="O118" s="31">
        <f>SUM(Table1[[#This Row],[Likes]:[Comments]])</f>
        <v>3643</v>
      </c>
    </row>
    <row r="119" spans="1:15" ht="15.75" customHeight="1">
      <c r="A119" s="31" t="s">
        <v>112</v>
      </c>
      <c r="B119" s="31" t="s">
        <v>23</v>
      </c>
      <c r="C119" s="32">
        <v>45805</v>
      </c>
      <c r="D119" s="31" t="s">
        <v>15</v>
      </c>
      <c r="E119" s="31" t="s">
        <v>45</v>
      </c>
      <c r="F119" s="31">
        <v>2418</v>
      </c>
      <c r="G119" s="31">
        <v>161</v>
      </c>
      <c r="H119" s="31">
        <v>360</v>
      </c>
      <c r="I119" s="31">
        <v>30589</v>
      </c>
      <c r="J119" s="31">
        <v>41383</v>
      </c>
      <c r="K119" s="31">
        <v>88</v>
      </c>
      <c r="L119" s="31" t="s">
        <v>38</v>
      </c>
      <c r="M119" s="31"/>
      <c r="N119" s="33">
        <f>(Table1[[#This Row],[Likes]]+Table1[[#This Row],[Shares]]+Table1[[#This Row],[Comments]])/Table1[[#This Row],[Impressions]]</f>
        <v>9.6080290300434801E-2</v>
      </c>
      <c r="O119" s="31">
        <f>SUM(Table1[[#This Row],[Likes]:[Comments]])</f>
        <v>2939</v>
      </c>
    </row>
    <row r="120" spans="1:15" ht="15.75" customHeight="1">
      <c r="A120" s="31" t="s">
        <v>89</v>
      </c>
      <c r="B120" s="31" t="s">
        <v>14</v>
      </c>
      <c r="C120" s="32">
        <v>45722</v>
      </c>
      <c r="D120" s="31" t="s">
        <v>15</v>
      </c>
      <c r="E120" s="31" t="s">
        <v>34</v>
      </c>
      <c r="F120" s="31">
        <v>4851</v>
      </c>
      <c r="G120" s="31">
        <v>460</v>
      </c>
      <c r="H120" s="31">
        <v>212</v>
      </c>
      <c r="I120" s="31">
        <v>58075</v>
      </c>
      <c r="J120" s="31">
        <v>59574</v>
      </c>
      <c r="K120" s="31">
        <v>239</v>
      </c>
      <c r="L120" s="31" t="s">
        <v>20</v>
      </c>
      <c r="M120" s="31"/>
      <c r="N120" s="33">
        <f>(Table1[[#This Row],[Likes]]+Table1[[#This Row],[Shares]]+Table1[[#This Row],[Comments]])/Table1[[#This Row],[Impressions]]</f>
        <v>9.5101162290142052E-2</v>
      </c>
      <c r="O120" s="31">
        <f>SUM(Table1[[#This Row],[Likes]:[Comments]])</f>
        <v>5523</v>
      </c>
    </row>
    <row r="121" spans="1:15" ht="15.75" customHeight="1">
      <c r="A121" s="31" t="s">
        <v>185</v>
      </c>
      <c r="B121" s="31" t="s">
        <v>23</v>
      </c>
      <c r="C121" s="32">
        <v>45442</v>
      </c>
      <c r="D121" s="31" t="s">
        <v>24</v>
      </c>
      <c r="E121" s="31" t="s">
        <v>47</v>
      </c>
      <c r="F121" s="31">
        <v>2311</v>
      </c>
      <c r="G121" s="31">
        <v>207</v>
      </c>
      <c r="H121" s="31">
        <v>363</v>
      </c>
      <c r="I121" s="31">
        <v>30349</v>
      </c>
      <c r="J121" s="31">
        <v>32925</v>
      </c>
      <c r="K121" s="31">
        <v>88</v>
      </c>
      <c r="L121" s="31" t="s">
        <v>368</v>
      </c>
      <c r="M121" s="31" t="s">
        <v>38</v>
      </c>
      <c r="N121" s="33">
        <f>(Table1[[#This Row],[Likes]]+Table1[[#This Row],[Shares]]+Table1[[#This Row],[Comments]])/Table1[[#This Row],[Impressions]]</f>
        <v>9.4928992718046723E-2</v>
      </c>
      <c r="O121" s="31">
        <f>SUM(Table1[[#This Row],[Likes]:[Comments]])</f>
        <v>2881</v>
      </c>
    </row>
    <row r="122" spans="1:15" ht="15.75" customHeight="1">
      <c r="A122" s="31" t="s">
        <v>133</v>
      </c>
      <c r="B122" s="31" t="s">
        <v>23</v>
      </c>
      <c r="C122" s="32">
        <v>45366</v>
      </c>
      <c r="D122" s="31" t="s">
        <v>24</v>
      </c>
      <c r="E122" s="31" t="s">
        <v>34</v>
      </c>
      <c r="F122" s="31">
        <v>4969</v>
      </c>
      <c r="G122" s="31">
        <v>433</v>
      </c>
      <c r="H122" s="31">
        <v>237</v>
      </c>
      <c r="I122" s="31">
        <v>59552</v>
      </c>
      <c r="J122" s="31">
        <v>23885</v>
      </c>
      <c r="K122" s="31">
        <v>157</v>
      </c>
      <c r="L122" s="31" t="s">
        <v>20</v>
      </c>
      <c r="M122" s="31" t="s">
        <v>368</v>
      </c>
      <c r="N122" s="33">
        <f>(Table1[[#This Row],[Likes]]+Table1[[#This Row],[Shares]]+Table1[[#This Row],[Comments]])/Table1[[#This Row],[Impressions]]</f>
        <v>9.4690354648038683E-2</v>
      </c>
      <c r="O122" s="31">
        <f>SUM(Table1[[#This Row],[Likes]:[Comments]])</f>
        <v>5639</v>
      </c>
    </row>
    <row r="123" spans="1:15" ht="15.75" customHeight="1">
      <c r="A123" s="31" t="s">
        <v>252</v>
      </c>
      <c r="B123" s="31" t="s">
        <v>14</v>
      </c>
      <c r="C123" s="32">
        <v>45808</v>
      </c>
      <c r="D123" s="31" t="s">
        <v>15</v>
      </c>
      <c r="E123" s="31" t="s">
        <v>32</v>
      </c>
      <c r="F123" s="31">
        <v>2169</v>
      </c>
      <c r="G123" s="31">
        <v>240</v>
      </c>
      <c r="H123" s="31">
        <v>57</v>
      </c>
      <c r="I123" s="31">
        <v>26109</v>
      </c>
      <c r="J123" s="31">
        <v>46667</v>
      </c>
      <c r="K123" s="31">
        <v>133</v>
      </c>
      <c r="L123" s="31" t="s">
        <v>41</v>
      </c>
      <c r="M123" s="31" t="s">
        <v>38</v>
      </c>
      <c r="N123" s="33">
        <f>(Table1[[#This Row],[Likes]]+Table1[[#This Row],[Shares]]+Table1[[#This Row],[Comments]])/Table1[[#This Row],[Impressions]]</f>
        <v>9.4450189589796618E-2</v>
      </c>
      <c r="O123" s="31">
        <f>SUM(Table1[[#This Row],[Likes]:[Comments]])</f>
        <v>2466</v>
      </c>
    </row>
    <row r="124" spans="1:15" ht="15.75" customHeight="1">
      <c r="A124" s="31" t="s">
        <v>335</v>
      </c>
      <c r="B124" s="31" t="s">
        <v>14</v>
      </c>
      <c r="C124" s="32">
        <v>45329</v>
      </c>
      <c r="D124" s="31" t="s">
        <v>15</v>
      </c>
      <c r="E124" s="31" t="s">
        <v>30</v>
      </c>
      <c r="F124" s="31">
        <v>1883</v>
      </c>
      <c r="G124" s="31">
        <v>432</v>
      </c>
      <c r="H124" s="31">
        <v>397</v>
      </c>
      <c r="I124" s="31">
        <v>28759</v>
      </c>
      <c r="J124" s="31">
        <v>18691</v>
      </c>
      <c r="K124" s="31">
        <v>270</v>
      </c>
      <c r="L124" s="31" t="s">
        <v>41</v>
      </c>
      <c r="M124" s="31" t="s">
        <v>38</v>
      </c>
      <c r="N124" s="33">
        <f>(Table1[[#This Row],[Likes]]+Table1[[#This Row],[Shares]]+Table1[[#This Row],[Comments]])/Table1[[#This Row],[Impressions]]</f>
        <v>9.4300914496331587E-2</v>
      </c>
      <c r="O124" s="31">
        <f>SUM(Table1[[#This Row],[Likes]:[Comments]])</f>
        <v>2712</v>
      </c>
    </row>
    <row r="125" spans="1:15" ht="15.75" customHeight="1">
      <c r="A125" s="31" t="s">
        <v>225</v>
      </c>
      <c r="B125" s="31" t="s">
        <v>14</v>
      </c>
      <c r="C125" s="32">
        <v>45673</v>
      </c>
      <c r="D125" s="31" t="s">
        <v>15</v>
      </c>
      <c r="E125" s="31" t="s">
        <v>30</v>
      </c>
      <c r="F125" s="31">
        <v>2605</v>
      </c>
      <c r="G125" s="31">
        <v>282</v>
      </c>
      <c r="H125" s="31">
        <v>148</v>
      </c>
      <c r="I125" s="31">
        <v>32201</v>
      </c>
      <c r="J125" s="31">
        <v>49583</v>
      </c>
      <c r="K125" s="31">
        <v>241</v>
      </c>
      <c r="L125" s="31" t="s">
        <v>41</v>
      </c>
      <c r="M125" s="31" t="s">
        <v>38</v>
      </c>
      <c r="N125" s="33">
        <f>(Table1[[#This Row],[Likes]]+Table1[[#This Row],[Shares]]+Table1[[#This Row],[Comments]])/Table1[[#This Row],[Impressions]]</f>
        <v>9.4251731312692155E-2</v>
      </c>
      <c r="O125" s="31">
        <f>SUM(Table1[[#This Row],[Likes]:[Comments]])</f>
        <v>3035</v>
      </c>
    </row>
    <row r="126" spans="1:15" ht="15.75" customHeight="1">
      <c r="A126" s="31" t="s">
        <v>310</v>
      </c>
      <c r="B126" s="31" t="s">
        <v>14</v>
      </c>
      <c r="C126" s="32">
        <v>45341</v>
      </c>
      <c r="D126" s="31" t="s">
        <v>15</v>
      </c>
      <c r="E126" s="31" t="s">
        <v>27</v>
      </c>
      <c r="F126" s="31">
        <v>4752</v>
      </c>
      <c r="G126" s="31">
        <v>449</v>
      </c>
      <c r="H126" s="31">
        <v>309</v>
      </c>
      <c r="I126" s="31">
        <v>58530</v>
      </c>
      <c r="J126" s="31">
        <v>26630</v>
      </c>
      <c r="K126" s="31">
        <v>234</v>
      </c>
      <c r="L126" s="31" t="s">
        <v>20</v>
      </c>
      <c r="M126" s="31"/>
      <c r="N126" s="33">
        <f>(Table1[[#This Row],[Likes]]+Table1[[#This Row],[Shares]]+Table1[[#This Row],[Comments]])/Table1[[#This Row],[Impressions]]</f>
        <v>9.4139757389372969E-2</v>
      </c>
      <c r="O126" s="31">
        <f>SUM(Table1[[#This Row],[Likes]:[Comments]])</f>
        <v>5510</v>
      </c>
    </row>
    <row r="127" spans="1:15" ht="15.75" customHeight="1">
      <c r="A127" s="31" t="s">
        <v>156</v>
      </c>
      <c r="B127" s="31" t="s">
        <v>14</v>
      </c>
      <c r="C127" s="32">
        <v>45777</v>
      </c>
      <c r="D127" s="31" t="s">
        <v>24</v>
      </c>
      <c r="E127" s="31" t="s">
        <v>25</v>
      </c>
      <c r="F127" s="31">
        <v>3916</v>
      </c>
      <c r="G127" s="31">
        <v>459</v>
      </c>
      <c r="H127" s="31">
        <v>229</v>
      </c>
      <c r="I127" s="31">
        <v>48989</v>
      </c>
      <c r="J127" s="31">
        <v>39768</v>
      </c>
      <c r="K127" s="31">
        <v>200</v>
      </c>
      <c r="L127" s="31" t="s">
        <v>38</v>
      </c>
      <c r="M127" s="31"/>
      <c r="N127" s="33">
        <f>(Table1[[#This Row],[Likes]]+Table1[[#This Row],[Shares]]+Table1[[#This Row],[Comments]])/Table1[[#This Row],[Impressions]]</f>
        <v>9.3980281287635997E-2</v>
      </c>
      <c r="O127" s="31">
        <f>SUM(Table1[[#This Row],[Likes]:[Comments]])</f>
        <v>4604</v>
      </c>
    </row>
    <row r="128" spans="1:15" ht="15.75" customHeight="1">
      <c r="A128" s="31" t="s">
        <v>48</v>
      </c>
      <c r="B128" s="31" t="s">
        <v>23</v>
      </c>
      <c r="C128" s="32">
        <v>45655</v>
      </c>
      <c r="D128" s="31" t="s">
        <v>24</v>
      </c>
      <c r="E128" s="31" t="s">
        <v>25</v>
      </c>
      <c r="F128" s="31">
        <v>4049</v>
      </c>
      <c r="G128" s="31">
        <v>377</v>
      </c>
      <c r="H128" s="31">
        <v>94</v>
      </c>
      <c r="I128" s="31">
        <v>48182</v>
      </c>
      <c r="J128" s="31">
        <v>42875</v>
      </c>
      <c r="K128" s="31">
        <v>172</v>
      </c>
      <c r="L128" s="31" t="s">
        <v>368</v>
      </c>
      <c r="M128" s="31" t="s">
        <v>38</v>
      </c>
      <c r="N128" s="33">
        <f>(Table1[[#This Row],[Likes]]+Table1[[#This Row],[Shares]]+Table1[[#This Row],[Comments]])/Table1[[#This Row],[Impressions]]</f>
        <v>9.3810966751068869E-2</v>
      </c>
      <c r="O128" s="31">
        <f>SUM(Table1[[#This Row],[Likes]:[Comments]])</f>
        <v>4520</v>
      </c>
    </row>
    <row r="129" spans="1:15" ht="15.75" customHeight="1">
      <c r="A129" s="31" t="s">
        <v>77</v>
      </c>
      <c r="B129" s="31" t="s">
        <v>14</v>
      </c>
      <c r="C129" s="32">
        <v>45683</v>
      </c>
      <c r="D129" s="31" t="s">
        <v>24</v>
      </c>
      <c r="E129" s="31" t="s">
        <v>32</v>
      </c>
      <c r="F129" s="31">
        <v>3451</v>
      </c>
      <c r="G129" s="31">
        <v>363</v>
      </c>
      <c r="H129" s="31">
        <v>393</v>
      </c>
      <c r="I129" s="31">
        <v>44853</v>
      </c>
      <c r="J129" s="31">
        <v>69032</v>
      </c>
      <c r="K129" s="31">
        <v>211</v>
      </c>
      <c r="L129" s="31" t="s">
        <v>38</v>
      </c>
      <c r="M129" s="31"/>
      <c r="N129" s="33">
        <f>(Table1[[#This Row],[Likes]]+Table1[[#This Row],[Shares]]+Table1[[#This Row],[Comments]])/Table1[[#This Row],[Impressions]]</f>
        <v>9.379528682585335E-2</v>
      </c>
      <c r="O129" s="31">
        <f>SUM(Table1[[#This Row],[Likes]:[Comments]])</f>
        <v>4207</v>
      </c>
    </row>
    <row r="130" spans="1:15" ht="15.75" customHeight="1">
      <c r="A130" s="31" t="s">
        <v>304</v>
      </c>
      <c r="B130" s="31" t="s">
        <v>29</v>
      </c>
      <c r="C130" s="32">
        <v>45464</v>
      </c>
      <c r="D130" s="31" t="s">
        <v>53</v>
      </c>
      <c r="E130" s="31" t="s">
        <v>30</v>
      </c>
      <c r="F130" s="31">
        <v>4621</v>
      </c>
      <c r="G130" s="31">
        <v>374</v>
      </c>
      <c r="H130" s="31">
        <v>298</v>
      </c>
      <c r="I130" s="31">
        <v>56979</v>
      </c>
      <c r="J130" s="31">
        <v>24098</v>
      </c>
      <c r="K130" s="31">
        <v>205</v>
      </c>
      <c r="L130" s="31" t="s">
        <v>20</v>
      </c>
      <c r="M130" s="31" t="s">
        <v>41</v>
      </c>
      <c r="N130" s="33">
        <f>(Table1[[#This Row],[Likes]]+Table1[[#This Row],[Shares]]+Table1[[#This Row],[Comments]])/Table1[[#This Row],[Impressions]]</f>
        <v>9.2893873181347508E-2</v>
      </c>
      <c r="O130" s="31">
        <f>SUM(Table1[[#This Row],[Likes]:[Comments]])</f>
        <v>5293</v>
      </c>
    </row>
    <row r="131" spans="1:15" ht="15.75" customHeight="1">
      <c r="A131" s="31" t="s">
        <v>280</v>
      </c>
      <c r="B131" s="31" t="s">
        <v>23</v>
      </c>
      <c r="C131" s="32">
        <v>45666</v>
      </c>
      <c r="D131" s="31" t="s">
        <v>24</v>
      </c>
      <c r="E131" s="31" t="s">
        <v>47</v>
      </c>
      <c r="F131" s="31">
        <v>3817</v>
      </c>
      <c r="G131" s="31">
        <v>284</v>
      </c>
      <c r="H131" s="31">
        <v>204</v>
      </c>
      <c r="I131" s="31">
        <v>46434</v>
      </c>
      <c r="J131" s="31">
        <v>53396</v>
      </c>
      <c r="K131" s="31">
        <v>104</v>
      </c>
      <c r="L131" s="31" t="s">
        <v>368</v>
      </c>
      <c r="M131" s="31" t="s">
        <v>38</v>
      </c>
      <c r="N131" s="33">
        <f>(Table1[[#This Row],[Likes]]+Table1[[#This Row],[Shares]]+Table1[[#This Row],[Comments]])/Table1[[#This Row],[Impressions]]</f>
        <v>9.2712236723090841E-2</v>
      </c>
      <c r="O131" s="31">
        <f>SUM(Table1[[#This Row],[Likes]:[Comments]])</f>
        <v>4305</v>
      </c>
    </row>
    <row r="132" spans="1:15" ht="15.75" customHeight="1">
      <c r="A132" s="31" t="s">
        <v>178</v>
      </c>
      <c r="B132" s="31" t="s">
        <v>14</v>
      </c>
      <c r="C132" s="32">
        <v>45460</v>
      </c>
      <c r="D132" s="31" t="s">
        <v>15</v>
      </c>
      <c r="E132" s="31" t="s">
        <v>16</v>
      </c>
      <c r="F132" s="31">
        <v>4283</v>
      </c>
      <c r="G132" s="31">
        <v>471</v>
      </c>
      <c r="H132" s="31">
        <v>156</v>
      </c>
      <c r="I132" s="31">
        <v>53004</v>
      </c>
      <c r="J132" s="31">
        <v>25678</v>
      </c>
      <c r="K132" s="31">
        <v>105</v>
      </c>
      <c r="L132" s="31" t="s">
        <v>20</v>
      </c>
      <c r="M132" s="31"/>
      <c r="N132" s="33">
        <f>(Table1[[#This Row],[Likes]]+Table1[[#This Row],[Shares]]+Table1[[#This Row],[Comments]])/Table1[[#This Row],[Impressions]]</f>
        <v>9.2634518149573616E-2</v>
      </c>
      <c r="O132" s="31">
        <f>SUM(Table1[[#This Row],[Likes]:[Comments]])</f>
        <v>4910</v>
      </c>
    </row>
    <row r="133" spans="1:15" ht="15.75" customHeight="1">
      <c r="A133" s="31" t="s">
        <v>167</v>
      </c>
      <c r="B133" s="31" t="s">
        <v>23</v>
      </c>
      <c r="C133" s="32">
        <v>45563</v>
      </c>
      <c r="D133" s="31" t="s">
        <v>15</v>
      </c>
      <c r="E133" s="31" t="s">
        <v>32</v>
      </c>
      <c r="F133" s="31">
        <v>4006</v>
      </c>
      <c r="G133" s="31">
        <v>420</v>
      </c>
      <c r="H133" s="31">
        <v>194</v>
      </c>
      <c r="I133" s="31">
        <v>49964</v>
      </c>
      <c r="J133" s="31">
        <v>20685</v>
      </c>
      <c r="K133" s="31">
        <v>148</v>
      </c>
      <c r="L133" s="31" t="s">
        <v>38</v>
      </c>
      <c r="M133" s="31"/>
      <c r="N133" s="33">
        <f>(Table1[[#This Row],[Likes]]+Table1[[#This Row],[Shares]]+Table1[[#This Row],[Comments]])/Table1[[#This Row],[Impressions]]</f>
        <v>9.2466575934672959E-2</v>
      </c>
      <c r="O133" s="31">
        <f>SUM(Table1[[#This Row],[Likes]:[Comments]])</f>
        <v>4620</v>
      </c>
    </row>
    <row r="134" spans="1:15" ht="15.75" customHeight="1">
      <c r="A134" s="31" t="s">
        <v>187</v>
      </c>
      <c r="B134" s="31" t="s">
        <v>14</v>
      </c>
      <c r="C134" s="32">
        <v>45562</v>
      </c>
      <c r="D134" s="31" t="s">
        <v>15</v>
      </c>
      <c r="E134" s="31" t="s">
        <v>16</v>
      </c>
      <c r="F134" s="31">
        <v>3118</v>
      </c>
      <c r="G134" s="31">
        <v>116</v>
      </c>
      <c r="H134" s="31">
        <v>195</v>
      </c>
      <c r="I134" s="31">
        <v>37100</v>
      </c>
      <c r="J134" s="31">
        <v>62629</v>
      </c>
      <c r="K134" s="31">
        <v>272</v>
      </c>
      <c r="L134" s="31" t="s">
        <v>20</v>
      </c>
      <c r="M134" s="31"/>
      <c r="N134" s="33">
        <f>(Table1[[#This Row],[Likes]]+Table1[[#This Row],[Shares]]+Table1[[#This Row],[Comments]])/Table1[[#This Row],[Impressions]]</f>
        <v>9.2425876010781671E-2</v>
      </c>
      <c r="O134" s="31">
        <f>SUM(Table1[[#This Row],[Likes]:[Comments]])</f>
        <v>3429</v>
      </c>
    </row>
    <row r="135" spans="1:15" ht="15.75" customHeight="1">
      <c r="A135" s="31" t="s">
        <v>201</v>
      </c>
      <c r="B135" s="31" t="s">
        <v>14</v>
      </c>
      <c r="C135" s="32">
        <v>45387</v>
      </c>
      <c r="D135" s="31" t="s">
        <v>15</v>
      </c>
      <c r="E135" s="31" t="s">
        <v>25</v>
      </c>
      <c r="F135" s="31">
        <v>4383</v>
      </c>
      <c r="G135" s="31">
        <v>352</v>
      </c>
      <c r="H135" s="31">
        <v>176</v>
      </c>
      <c r="I135" s="31">
        <v>53239</v>
      </c>
      <c r="J135" s="31">
        <v>34168</v>
      </c>
      <c r="K135" s="31">
        <v>288</v>
      </c>
      <c r="L135" s="31" t="s">
        <v>20</v>
      </c>
      <c r="M135" s="31"/>
      <c r="N135" s="33">
        <f>(Table1[[#This Row],[Likes]]+Table1[[#This Row],[Shares]]+Table1[[#This Row],[Comments]])/Table1[[#This Row],[Impressions]]</f>
        <v>9.2244407295403744E-2</v>
      </c>
      <c r="O135" s="31">
        <f>SUM(Table1[[#This Row],[Likes]:[Comments]])</f>
        <v>4911</v>
      </c>
    </row>
    <row r="136" spans="1:15" ht="15.75" customHeight="1">
      <c r="A136" s="31" t="s">
        <v>99</v>
      </c>
      <c r="B136" s="31" t="s">
        <v>23</v>
      </c>
      <c r="C136" s="32">
        <v>45679</v>
      </c>
      <c r="D136" s="31" t="s">
        <v>24</v>
      </c>
      <c r="E136" s="31" t="s">
        <v>25</v>
      </c>
      <c r="F136" s="31">
        <v>4478</v>
      </c>
      <c r="G136" s="31">
        <v>101</v>
      </c>
      <c r="H136" s="31">
        <v>121</v>
      </c>
      <c r="I136" s="31">
        <v>51035</v>
      </c>
      <c r="J136" s="31">
        <v>58207</v>
      </c>
      <c r="K136" s="31">
        <v>205</v>
      </c>
      <c r="L136" s="31" t="s">
        <v>368</v>
      </c>
      <c r="M136" s="31" t="s">
        <v>38</v>
      </c>
      <c r="N136" s="33">
        <f>(Table1[[#This Row],[Likes]]+Table1[[#This Row],[Shares]]+Table1[[#This Row],[Comments]])/Table1[[#This Row],[Impressions]]</f>
        <v>9.2093661212893113E-2</v>
      </c>
      <c r="O136" s="31">
        <f>SUM(Table1[[#This Row],[Likes]:[Comments]])</f>
        <v>4700</v>
      </c>
    </row>
    <row r="137" spans="1:15" ht="15.75" customHeight="1">
      <c r="A137" s="31" t="s">
        <v>264</v>
      </c>
      <c r="B137" s="31" t="s">
        <v>29</v>
      </c>
      <c r="C137" s="32">
        <v>45346</v>
      </c>
      <c r="D137" s="31" t="s">
        <v>15</v>
      </c>
      <c r="E137" s="31" t="s">
        <v>30</v>
      </c>
      <c r="F137" s="31">
        <v>4653</v>
      </c>
      <c r="G137" s="31">
        <v>226</v>
      </c>
      <c r="H137" s="31">
        <v>349</v>
      </c>
      <c r="I137" s="31">
        <v>56876</v>
      </c>
      <c r="J137" s="31">
        <v>28452</v>
      </c>
      <c r="K137" s="31">
        <v>257</v>
      </c>
      <c r="L137" s="31" t="s">
        <v>20</v>
      </c>
      <c r="M137" s="31" t="s">
        <v>369</v>
      </c>
      <c r="N137" s="33">
        <f>(Table1[[#This Row],[Likes]]+Table1[[#This Row],[Shares]]+Table1[[#This Row],[Comments]])/Table1[[#This Row],[Impressions]]</f>
        <v>9.191926295801392E-2</v>
      </c>
      <c r="O137" s="31">
        <f>SUM(Table1[[#This Row],[Likes]:[Comments]])</f>
        <v>5228</v>
      </c>
    </row>
    <row r="138" spans="1:15" ht="15.75" customHeight="1">
      <c r="A138" s="31" t="s">
        <v>300</v>
      </c>
      <c r="B138" s="31" t="s">
        <v>23</v>
      </c>
      <c r="C138" s="32">
        <v>45825</v>
      </c>
      <c r="D138" s="31" t="s">
        <v>24</v>
      </c>
      <c r="E138" s="31" t="s">
        <v>19</v>
      </c>
      <c r="F138" s="31">
        <v>4341</v>
      </c>
      <c r="G138" s="31">
        <v>141</v>
      </c>
      <c r="H138" s="31">
        <v>63</v>
      </c>
      <c r="I138" s="31">
        <v>50081</v>
      </c>
      <c r="J138" s="31">
        <v>27507</v>
      </c>
      <c r="K138" s="31">
        <v>221</v>
      </c>
      <c r="L138" s="31" t="s">
        <v>20</v>
      </c>
      <c r="M138" s="31" t="s">
        <v>368</v>
      </c>
      <c r="N138" s="33">
        <f>(Table1[[#This Row],[Likes]]+Table1[[#This Row],[Shares]]+Table1[[#This Row],[Comments]])/Table1[[#This Row],[Impressions]]</f>
        <v>9.0752980172121162E-2</v>
      </c>
      <c r="O138" s="31">
        <f>SUM(Table1[[#This Row],[Likes]:[Comments]])</f>
        <v>4545</v>
      </c>
    </row>
    <row r="139" spans="1:15" ht="15.75" customHeight="1">
      <c r="A139" s="31" t="s">
        <v>101</v>
      </c>
      <c r="B139" s="31" t="s">
        <v>14</v>
      </c>
      <c r="C139" s="32">
        <v>45763</v>
      </c>
      <c r="D139" s="31" t="s">
        <v>15</v>
      </c>
      <c r="E139" s="31" t="s">
        <v>27</v>
      </c>
      <c r="F139" s="31">
        <v>4836</v>
      </c>
      <c r="G139" s="31">
        <v>331</v>
      </c>
      <c r="H139" s="31">
        <v>140</v>
      </c>
      <c r="I139" s="31">
        <v>58792</v>
      </c>
      <c r="J139" s="31">
        <v>47711</v>
      </c>
      <c r="K139" s="31">
        <v>227</v>
      </c>
      <c r="L139" s="31" t="s">
        <v>41</v>
      </c>
      <c r="M139" s="31" t="s">
        <v>38</v>
      </c>
      <c r="N139" s="33">
        <f>(Table1[[#This Row],[Likes]]+Table1[[#This Row],[Shares]]+Table1[[#This Row],[Comments]])/Table1[[#This Row],[Impressions]]</f>
        <v>9.0267383317458164E-2</v>
      </c>
      <c r="O139" s="31">
        <f>SUM(Table1[[#This Row],[Likes]:[Comments]])</f>
        <v>5307</v>
      </c>
    </row>
    <row r="140" spans="1:15" ht="15.75" customHeight="1">
      <c r="A140" s="31" t="s">
        <v>227</v>
      </c>
      <c r="B140" s="31" t="s">
        <v>23</v>
      </c>
      <c r="C140" s="32">
        <v>45551</v>
      </c>
      <c r="D140" s="31" t="s">
        <v>24</v>
      </c>
      <c r="E140" s="31" t="s">
        <v>32</v>
      </c>
      <c r="F140" s="31">
        <v>4422</v>
      </c>
      <c r="G140" s="31">
        <v>434</v>
      </c>
      <c r="H140" s="31">
        <v>156</v>
      </c>
      <c r="I140" s="31">
        <v>56165</v>
      </c>
      <c r="J140" s="31">
        <v>52431</v>
      </c>
      <c r="K140" s="31">
        <v>173</v>
      </c>
      <c r="L140" s="31" t="s">
        <v>20</v>
      </c>
      <c r="M140" s="31" t="s">
        <v>368</v>
      </c>
      <c r="N140" s="33">
        <f>(Table1[[#This Row],[Likes]]+Table1[[#This Row],[Shares]]+Table1[[#This Row],[Comments]])/Table1[[#This Row],[Impressions]]</f>
        <v>8.9237069349238848E-2</v>
      </c>
      <c r="O140" s="31">
        <f>SUM(Table1[[#This Row],[Likes]:[Comments]])</f>
        <v>5012</v>
      </c>
    </row>
    <row r="141" spans="1:15" ht="15.75" customHeight="1">
      <c r="A141" s="31" t="s">
        <v>139</v>
      </c>
      <c r="B141" s="31" t="s">
        <v>23</v>
      </c>
      <c r="C141" s="32">
        <v>45413</v>
      </c>
      <c r="D141" s="31" t="s">
        <v>24</v>
      </c>
      <c r="E141" s="31" t="s">
        <v>32</v>
      </c>
      <c r="F141" s="31">
        <v>2587</v>
      </c>
      <c r="G141" s="31">
        <v>447</v>
      </c>
      <c r="H141" s="31">
        <v>183</v>
      </c>
      <c r="I141" s="31">
        <v>36266</v>
      </c>
      <c r="J141" s="31">
        <v>32877</v>
      </c>
      <c r="K141" s="31">
        <v>132</v>
      </c>
      <c r="L141" s="31" t="s">
        <v>20</v>
      </c>
      <c r="M141" s="31" t="s">
        <v>368</v>
      </c>
      <c r="N141" s="33">
        <f>(Table1[[#This Row],[Likes]]+Table1[[#This Row],[Shares]]+Table1[[#This Row],[Comments]])/Table1[[#This Row],[Impressions]]</f>
        <v>8.8705674736667947E-2</v>
      </c>
      <c r="O141" s="31">
        <f>SUM(Table1[[#This Row],[Likes]:[Comments]])</f>
        <v>3217</v>
      </c>
    </row>
    <row r="142" spans="1:15" ht="15.75" customHeight="1">
      <c r="A142" s="31" t="s">
        <v>93</v>
      </c>
      <c r="B142" s="31" t="s">
        <v>29</v>
      </c>
      <c r="C142" s="32">
        <v>45490</v>
      </c>
      <c r="D142" s="31" t="s">
        <v>15</v>
      </c>
      <c r="E142" s="31" t="s">
        <v>37</v>
      </c>
      <c r="F142" s="31">
        <v>3135</v>
      </c>
      <c r="G142" s="31">
        <v>110</v>
      </c>
      <c r="H142" s="31">
        <v>215</v>
      </c>
      <c r="I142" s="31">
        <v>39192</v>
      </c>
      <c r="J142" s="31">
        <v>24744</v>
      </c>
      <c r="K142" s="31">
        <v>177</v>
      </c>
      <c r="L142" s="31" t="s">
        <v>20</v>
      </c>
      <c r="M142" s="31" t="s">
        <v>369</v>
      </c>
      <c r="N142" s="33">
        <f>(Table1[[#This Row],[Likes]]+Table1[[#This Row],[Shares]]+Table1[[#This Row],[Comments]])/Table1[[#This Row],[Impressions]]</f>
        <v>8.8283323127168814E-2</v>
      </c>
      <c r="O142" s="31">
        <f>SUM(Table1[[#This Row],[Likes]:[Comments]])</f>
        <v>3460</v>
      </c>
    </row>
    <row r="143" spans="1:15" ht="15.75" customHeight="1">
      <c r="A143" s="31" t="s">
        <v>116</v>
      </c>
      <c r="B143" s="31" t="s">
        <v>23</v>
      </c>
      <c r="C143" s="32">
        <v>45723</v>
      </c>
      <c r="D143" s="31" t="s">
        <v>15</v>
      </c>
      <c r="E143" s="31" t="s">
        <v>34</v>
      </c>
      <c r="F143" s="31">
        <v>4234</v>
      </c>
      <c r="G143" s="31">
        <v>486</v>
      </c>
      <c r="H143" s="31">
        <v>276</v>
      </c>
      <c r="I143" s="31">
        <v>56623</v>
      </c>
      <c r="J143" s="31">
        <v>41343</v>
      </c>
      <c r="K143" s="31">
        <v>184</v>
      </c>
      <c r="L143" s="31" t="s">
        <v>41</v>
      </c>
      <c r="M143" s="31"/>
      <c r="N143" s="33">
        <f>(Table1[[#This Row],[Likes]]+Table1[[#This Row],[Shares]]+Table1[[#This Row],[Comments]])/Table1[[#This Row],[Impressions]]</f>
        <v>8.8232696960599044E-2</v>
      </c>
      <c r="O143" s="31">
        <f>SUM(Table1[[#This Row],[Likes]:[Comments]])</f>
        <v>4996</v>
      </c>
    </row>
    <row r="144" spans="1:15" ht="15.75" customHeight="1">
      <c r="A144" s="31" t="s">
        <v>96</v>
      </c>
      <c r="B144" s="31" t="s">
        <v>29</v>
      </c>
      <c r="C144" s="32">
        <v>45292</v>
      </c>
      <c r="D144" s="31" t="s">
        <v>53</v>
      </c>
      <c r="E144" s="31" t="s">
        <v>19</v>
      </c>
      <c r="F144" s="31">
        <v>3437</v>
      </c>
      <c r="G144" s="31">
        <v>129</v>
      </c>
      <c r="H144" s="31">
        <v>359</v>
      </c>
      <c r="I144" s="31">
        <v>44558</v>
      </c>
      <c r="J144" s="31">
        <v>30854</v>
      </c>
      <c r="K144" s="31">
        <v>171</v>
      </c>
      <c r="L144" s="31" t="s">
        <v>20</v>
      </c>
      <c r="M144" s="31" t="s">
        <v>41</v>
      </c>
      <c r="N144" s="33">
        <f>(Table1[[#This Row],[Likes]]+Table1[[#This Row],[Shares]]+Table1[[#This Row],[Comments]])/Table1[[#This Row],[Impressions]]</f>
        <v>8.8087436599488311E-2</v>
      </c>
      <c r="O144" s="31">
        <f>SUM(Table1[[#This Row],[Likes]:[Comments]])</f>
        <v>3925</v>
      </c>
    </row>
    <row r="145" spans="1:15" ht="15.75" customHeight="1">
      <c r="A145" s="31" t="s">
        <v>35</v>
      </c>
      <c r="B145" s="31" t="s">
        <v>23</v>
      </c>
      <c r="C145" s="32">
        <v>45421</v>
      </c>
      <c r="D145" s="31" t="s">
        <v>24</v>
      </c>
      <c r="E145" s="31" t="s">
        <v>27</v>
      </c>
      <c r="F145" s="31">
        <v>1428</v>
      </c>
      <c r="G145" s="31">
        <v>347</v>
      </c>
      <c r="H145" s="31">
        <v>67</v>
      </c>
      <c r="I145" s="31">
        <v>21148</v>
      </c>
      <c r="J145" s="31">
        <v>19712</v>
      </c>
      <c r="K145" s="31">
        <v>120</v>
      </c>
      <c r="L145" s="31" t="s">
        <v>20</v>
      </c>
      <c r="M145" s="31" t="s">
        <v>368</v>
      </c>
      <c r="N145" s="33">
        <f>(Table1[[#This Row],[Likes]]+Table1[[#This Row],[Shares]]+Table1[[#This Row],[Comments]])/Table1[[#This Row],[Impressions]]</f>
        <v>8.7100435029317191E-2</v>
      </c>
      <c r="O145" s="31">
        <f>SUM(Table1[[#This Row],[Likes]:[Comments]])</f>
        <v>1842</v>
      </c>
    </row>
    <row r="146" spans="1:15" ht="15.75" customHeight="1">
      <c r="A146" s="31" t="s">
        <v>18</v>
      </c>
      <c r="B146" s="31" t="s">
        <v>14</v>
      </c>
      <c r="C146" s="32">
        <v>45689</v>
      </c>
      <c r="D146" s="31" t="s">
        <v>15</v>
      </c>
      <c r="E146" s="31" t="s">
        <v>19</v>
      </c>
      <c r="F146" s="31">
        <v>1934</v>
      </c>
      <c r="G146" s="31">
        <v>210</v>
      </c>
      <c r="H146" s="31">
        <v>393</v>
      </c>
      <c r="I146" s="31">
        <v>29129</v>
      </c>
      <c r="J146" s="31">
        <v>73287</v>
      </c>
      <c r="K146" s="31">
        <v>273</v>
      </c>
      <c r="L146" s="31" t="s">
        <v>20</v>
      </c>
      <c r="M146" s="31"/>
      <c r="N146" s="33">
        <f>(Table1[[#This Row],[Likes]]+Table1[[#This Row],[Shares]]+Table1[[#This Row],[Comments]])/Table1[[#This Row],[Impressions]]</f>
        <v>8.7095334546328396E-2</v>
      </c>
      <c r="O146" s="31">
        <f>SUM(Table1[[#This Row],[Likes]:[Comments]])</f>
        <v>2537</v>
      </c>
    </row>
    <row r="147" spans="1:15" ht="15.75" customHeight="1">
      <c r="A147" s="31" t="s">
        <v>175</v>
      </c>
      <c r="B147" s="31" t="s">
        <v>23</v>
      </c>
      <c r="C147" s="32">
        <v>45531</v>
      </c>
      <c r="D147" s="31" t="s">
        <v>24</v>
      </c>
      <c r="E147" s="31" t="s">
        <v>25</v>
      </c>
      <c r="F147" s="31">
        <v>1856</v>
      </c>
      <c r="G147" s="31">
        <v>357</v>
      </c>
      <c r="H147" s="31">
        <v>348</v>
      </c>
      <c r="I147" s="31">
        <v>29428</v>
      </c>
      <c r="J147" s="31">
        <v>70206</v>
      </c>
      <c r="K147" s="31">
        <v>236</v>
      </c>
      <c r="L147" s="31" t="s">
        <v>368</v>
      </c>
      <c r="M147" s="31" t="s">
        <v>38</v>
      </c>
      <c r="N147" s="33">
        <f>(Table1[[#This Row],[Likes]]+Table1[[#This Row],[Shares]]+Table1[[#This Row],[Comments]])/Table1[[#This Row],[Impressions]]</f>
        <v>8.702596166915863E-2</v>
      </c>
      <c r="O147" s="31">
        <f>SUM(Table1[[#This Row],[Likes]:[Comments]])</f>
        <v>2561</v>
      </c>
    </row>
    <row r="148" spans="1:15" ht="15.75" customHeight="1">
      <c r="A148" s="31" t="s">
        <v>150</v>
      </c>
      <c r="B148" s="31" t="s">
        <v>14</v>
      </c>
      <c r="C148" s="32">
        <v>45762</v>
      </c>
      <c r="D148" s="31" t="s">
        <v>15</v>
      </c>
      <c r="E148" s="31" t="s">
        <v>19</v>
      </c>
      <c r="F148" s="31">
        <v>4177</v>
      </c>
      <c r="G148" s="31">
        <v>489</v>
      </c>
      <c r="H148" s="31">
        <v>331</v>
      </c>
      <c r="I148" s="31">
        <v>57451</v>
      </c>
      <c r="J148" s="31">
        <v>73793</v>
      </c>
      <c r="K148" s="31">
        <v>251</v>
      </c>
      <c r="L148" s="31" t="s">
        <v>20</v>
      </c>
      <c r="M148" s="31"/>
      <c r="N148" s="33">
        <f>(Table1[[#This Row],[Likes]]+Table1[[#This Row],[Shares]]+Table1[[#This Row],[Comments]])/Table1[[#This Row],[Impressions]]</f>
        <v>8.6978468608031198E-2</v>
      </c>
      <c r="O148" s="31">
        <f>SUM(Table1[[#This Row],[Likes]:[Comments]])</f>
        <v>4997</v>
      </c>
    </row>
    <row r="149" spans="1:15" ht="15.75" customHeight="1">
      <c r="A149" s="31" t="s">
        <v>257</v>
      </c>
      <c r="B149" s="31" t="s">
        <v>23</v>
      </c>
      <c r="C149" s="32">
        <v>45829</v>
      </c>
      <c r="D149" s="31" t="s">
        <v>15</v>
      </c>
      <c r="E149" s="31" t="s">
        <v>19</v>
      </c>
      <c r="F149" s="31">
        <v>3611</v>
      </c>
      <c r="G149" s="31">
        <v>127</v>
      </c>
      <c r="H149" s="31">
        <v>139</v>
      </c>
      <c r="I149" s="31">
        <v>44768</v>
      </c>
      <c r="J149" s="31">
        <v>29435</v>
      </c>
      <c r="K149" s="31">
        <v>178</v>
      </c>
      <c r="L149" s="31" t="s">
        <v>38</v>
      </c>
      <c r="M149" s="31"/>
      <c r="N149" s="33">
        <f>(Table1[[#This Row],[Likes]]+Table1[[#This Row],[Shares]]+Table1[[#This Row],[Comments]])/Table1[[#This Row],[Impressions]]</f>
        <v>8.6602037169406718E-2</v>
      </c>
      <c r="O149" s="31">
        <f>SUM(Table1[[#This Row],[Likes]:[Comments]])</f>
        <v>3877</v>
      </c>
    </row>
    <row r="150" spans="1:15" ht="15.75" customHeight="1">
      <c r="A150" s="31" t="s">
        <v>142</v>
      </c>
      <c r="B150" s="31" t="s">
        <v>23</v>
      </c>
      <c r="C150" s="32">
        <v>45670</v>
      </c>
      <c r="D150" s="31" t="s">
        <v>15</v>
      </c>
      <c r="E150" s="31" t="s">
        <v>30</v>
      </c>
      <c r="F150" s="31">
        <v>4090</v>
      </c>
      <c r="G150" s="31">
        <v>209</v>
      </c>
      <c r="H150" s="31">
        <v>278</v>
      </c>
      <c r="I150" s="31">
        <v>52853</v>
      </c>
      <c r="J150" s="31">
        <v>57084</v>
      </c>
      <c r="K150" s="31">
        <v>102</v>
      </c>
      <c r="L150" s="31" t="s">
        <v>41</v>
      </c>
      <c r="M150" s="31"/>
      <c r="N150" s="33">
        <f>(Table1[[#This Row],[Likes]]+Table1[[#This Row],[Shares]]+Table1[[#This Row],[Comments]])/Table1[[#This Row],[Impressions]]</f>
        <v>8.6598679355949518E-2</v>
      </c>
      <c r="O150" s="31">
        <f>SUM(Table1[[#This Row],[Likes]:[Comments]])</f>
        <v>4577</v>
      </c>
    </row>
    <row r="151" spans="1:15" ht="15.75" customHeight="1">
      <c r="A151" s="31" t="s">
        <v>279</v>
      </c>
      <c r="B151" s="31" t="s">
        <v>29</v>
      </c>
      <c r="C151" s="32">
        <v>45816</v>
      </c>
      <c r="D151" s="31" t="s">
        <v>15</v>
      </c>
      <c r="E151" s="31" t="s">
        <v>30</v>
      </c>
      <c r="F151" s="31">
        <v>4375</v>
      </c>
      <c r="G151" s="31">
        <v>303</v>
      </c>
      <c r="H151" s="31">
        <v>294</v>
      </c>
      <c r="I151" s="31">
        <v>57468</v>
      </c>
      <c r="J151" s="31">
        <v>53397</v>
      </c>
      <c r="K151" s="31">
        <v>159</v>
      </c>
      <c r="L151" s="31" t="s">
        <v>20</v>
      </c>
      <c r="M151" s="31" t="s">
        <v>369</v>
      </c>
      <c r="N151" s="33">
        <f>(Table1[[#This Row],[Likes]]+Table1[[#This Row],[Shares]]+Table1[[#This Row],[Comments]])/Table1[[#This Row],[Impressions]]</f>
        <v>8.6517714206166912E-2</v>
      </c>
      <c r="O151" s="31">
        <f>SUM(Table1[[#This Row],[Likes]:[Comments]])</f>
        <v>4972</v>
      </c>
    </row>
    <row r="152" spans="1:15" ht="15.75" customHeight="1">
      <c r="A152" s="31" t="s">
        <v>318</v>
      </c>
      <c r="B152" s="31" t="s">
        <v>14</v>
      </c>
      <c r="C152" s="32">
        <v>45531</v>
      </c>
      <c r="D152" s="31" t="s">
        <v>15</v>
      </c>
      <c r="E152" s="31" t="s">
        <v>30</v>
      </c>
      <c r="F152" s="31">
        <v>4197</v>
      </c>
      <c r="G152" s="31">
        <v>359</v>
      </c>
      <c r="H152" s="31">
        <v>280</v>
      </c>
      <c r="I152" s="31">
        <v>56048</v>
      </c>
      <c r="J152" s="31">
        <v>70930</v>
      </c>
      <c r="K152" s="31">
        <v>295</v>
      </c>
      <c r="L152" s="31" t="s">
        <v>20</v>
      </c>
      <c r="M152" s="31"/>
      <c r="N152" s="33">
        <f>(Table1[[#This Row],[Likes]]+Table1[[#This Row],[Shares]]+Table1[[#This Row],[Comments]])/Table1[[#This Row],[Impressions]]</f>
        <v>8.628318584070796E-2</v>
      </c>
      <c r="O152" s="31">
        <f>SUM(Table1[[#This Row],[Likes]:[Comments]])</f>
        <v>4836</v>
      </c>
    </row>
    <row r="153" spans="1:15" ht="15.75" customHeight="1">
      <c r="A153" s="31" t="s">
        <v>220</v>
      </c>
      <c r="B153" s="31" t="s">
        <v>29</v>
      </c>
      <c r="C153" s="32">
        <v>45769</v>
      </c>
      <c r="D153" s="31" t="s">
        <v>53</v>
      </c>
      <c r="E153" s="31" t="s">
        <v>25</v>
      </c>
      <c r="F153" s="31">
        <v>2733</v>
      </c>
      <c r="G153" s="31">
        <v>297</v>
      </c>
      <c r="H153" s="31">
        <v>235</v>
      </c>
      <c r="I153" s="31">
        <v>37980</v>
      </c>
      <c r="J153" s="31">
        <v>33058</v>
      </c>
      <c r="K153" s="31">
        <v>219</v>
      </c>
      <c r="L153" s="31" t="s">
        <v>20</v>
      </c>
      <c r="M153" s="31" t="s">
        <v>41</v>
      </c>
      <c r="N153" s="33">
        <f>(Table1[[#This Row],[Likes]]+Table1[[#This Row],[Shares]]+Table1[[#This Row],[Comments]])/Table1[[#This Row],[Impressions]]</f>
        <v>8.5966298051606105E-2</v>
      </c>
      <c r="O153" s="31">
        <f>SUM(Table1[[#This Row],[Likes]:[Comments]])</f>
        <v>3265</v>
      </c>
    </row>
    <row r="154" spans="1:15" ht="15.75" customHeight="1">
      <c r="A154" s="31" t="s">
        <v>292</v>
      </c>
      <c r="B154" s="31" t="s">
        <v>23</v>
      </c>
      <c r="C154" s="32">
        <v>45451</v>
      </c>
      <c r="D154" s="31" t="s">
        <v>24</v>
      </c>
      <c r="E154" s="31" t="s">
        <v>37</v>
      </c>
      <c r="F154" s="31">
        <v>3413</v>
      </c>
      <c r="G154" s="31">
        <v>326</v>
      </c>
      <c r="H154" s="31">
        <v>86</v>
      </c>
      <c r="I154" s="31">
        <v>44680</v>
      </c>
      <c r="J154" s="31">
        <v>52719</v>
      </c>
      <c r="K154" s="31">
        <v>272</v>
      </c>
      <c r="L154" s="31" t="s">
        <v>20</v>
      </c>
      <c r="M154" s="31" t="s">
        <v>368</v>
      </c>
      <c r="N154" s="33">
        <f>(Table1[[#This Row],[Likes]]+Table1[[#This Row],[Shares]]+Table1[[#This Row],[Comments]])/Table1[[#This Row],[Impressions]]</f>
        <v>8.5608773500447627E-2</v>
      </c>
      <c r="O154" s="31">
        <f>SUM(Table1[[#This Row],[Likes]:[Comments]])</f>
        <v>3825</v>
      </c>
    </row>
    <row r="155" spans="1:15" ht="15.75" customHeight="1">
      <c r="A155" s="31" t="s">
        <v>159</v>
      </c>
      <c r="B155" s="31" t="s">
        <v>23</v>
      </c>
      <c r="C155" s="32">
        <v>45421</v>
      </c>
      <c r="D155" s="31" t="s">
        <v>24</v>
      </c>
      <c r="E155" s="31" t="s">
        <v>25</v>
      </c>
      <c r="F155" s="31">
        <v>3277</v>
      </c>
      <c r="G155" s="31">
        <v>423</v>
      </c>
      <c r="H155" s="31">
        <v>259</v>
      </c>
      <c r="I155" s="31">
        <v>46328</v>
      </c>
      <c r="J155" s="31">
        <v>44293</v>
      </c>
      <c r="K155" s="31">
        <v>299</v>
      </c>
      <c r="L155" s="31" t="s">
        <v>41</v>
      </c>
      <c r="M155" s="31" t="s">
        <v>38</v>
      </c>
      <c r="N155" s="33">
        <f>(Table1[[#This Row],[Likes]]+Table1[[#This Row],[Shares]]+Table1[[#This Row],[Comments]])/Table1[[#This Row],[Impressions]]</f>
        <v>8.5455879813503707E-2</v>
      </c>
      <c r="O155" s="31">
        <f>SUM(Table1[[#This Row],[Likes]:[Comments]])</f>
        <v>3959</v>
      </c>
    </row>
    <row r="156" spans="1:15" ht="15.75" customHeight="1">
      <c r="A156" s="31" t="s">
        <v>44</v>
      </c>
      <c r="B156" s="31" t="s">
        <v>23</v>
      </c>
      <c r="C156" s="32">
        <v>45573</v>
      </c>
      <c r="D156" s="31" t="s">
        <v>15</v>
      </c>
      <c r="E156" s="31" t="s">
        <v>45</v>
      </c>
      <c r="F156" s="31">
        <v>2460</v>
      </c>
      <c r="G156" s="31">
        <v>409</v>
      </c>
      <c r="H156" s="31">
        <v>253</v>
      </c>
      <c r="I156" s="31">
        <v>36702</v>
      </c>
      <c r="J156" s="31">
        <v>46122</v>
      </c>
      <c r="K156" s="31">
        <v>264</v>
      </c>
      <c r="L156" s="31" t="s">
        <v>38</v>
      </c>
      <c r="M156" s="31"/>
      <c r="N156" s="33">
        <f>(Table1[[#This Row],[Likes]]+Table1[[#This Row],[Shares]]+Table1[[#This Row],[Comments]])/Table1[[#This Row],[Impressions]]</f>
        <v>8.5063484278785892E-2</v>
      </c>
      <c r="O156" s="31">
        <f>SUM(Table1[[#This Row],[Likes]:[Comments]])</f>
        <v>3122</v>
      </c>
    </row>
    <row r="157" spans="1:15" ht="15.75" customHeight="1">
      <c r="A157" s="31" t="s">
        <v>322</v>
      </c>
      <c r="B157" s="31" t="s">
        <v>29</v>
      </c>
      <c r="C157" s="32">
        <v>45468</v>
      </c>
      <c r="D157" s="31" t="s">
        <v>15</v>
      </c>
      <c r="E157" s="31" t="s">
        <v>47</v>
      </c>
      <c r="F157" s="31">
        <v>2172</v>
      </c>
      <c r="G157" s="31">
        <v>338</v>
      </c>
      <c r="H157" s="31">
        <v>70</v>
      </c>
      <c r="I157" s="31">
        <v>30515</v>
      </c>
      <c r="J157" s="31">
        <v>57853</v>
      </c>
      <c r="K157" s="31">
        <v>156</v>
      </c>
      <c r="L157" s="31" t="s">
        <v>20</v>
      </c>
      <c r="M157" s="31" t="s">
        <v>369</v>
      </c>
      <c r="N157" s="33">
        <f>(Table1[[#This Row],[Likes]]+Table1[[#This Row],[Shares]]+Table1[[#This Row],[Comments]])/Table1[[#This Row],[Impressions]]</f>
        <v>8.4548582664263475E-2</v>
      </c>
      <c r="O157" s="31">
        <f>SUM(Table1[[#This Row],[Likes]:[Comments]])</f>
        <v>2580</v>
      </c>
    </row>
    <row r="158" spans="1:15" ht="15.75" customHeight="1">
      <c r="A158" s="31" t="s">
        <v>204</v>
      </c>
      <c r="B158" s="31" t="s">
        <v>29</v>
      </c>
      <c r="C158" s="32">
        <v>45660</v>
      </c>
      <c r="D158" s="31" t="s">
        <v>15</v>
      </c>
      <c r="E158" s="31" t="s">
        <v>25</v>
      </c>
      <c r="F158" s="31">
        <v>3782</v>
      </c>
      <c r="G158" s="31">
        <v>484</v>
      </c>
      <c r="H158" s="31">
        <v>144</v>
      </c>
      <c r="I158" s="31">
        <v>52172</v>
      </c>
      <c r="J158" s="31">
        <v>59386</v>
      </c>
      <c r="K158" s="31">
        <v>175</v>
      </c>
      <c r="L158" s="31" t="s">
        <v>20</v>
      </c>
      <c r="M158" s="31" t="s">
        <v>369</v>
      </c>
      <c r="N158" s="33">
        <f>(Table1[[#This Row],[Likes]]+Table1[[#This Row],[Shares]]+Table1[[#This Row],[Comments]])/Table1[[#This Row],[Impressions]]</f>
        <v>8.4528099363643333E-2</v>
      </c>
      <c r="O158" s="31">
        <f>SUM(Table1[[#This Row],[Likes]:[Comments]])</f>
        <v>4410</v>
      </c>
    </row>
    <row r="159" spans="1:15" ht="15.75" customHeight="1">
      <c r="A159" s="31" t="s">
        <v>40</v>
      </c>
      <c r="B159" s="31" t="s">
        <v>23</v>
      </c>
      <c r="C159" s="32">
        <v>45357</v>
      </c>
      <c r="D159" s="31" t="s">
        <v>15</v>
      </c>
      <c r="E159" s="31" t="s">
        <v>16</v>
      </c>
      <c r="F159" s="31">
        <v>1971</v>
      </c>
      <c r="G159" s="31">
        <v>370</v>
      </c>
      <c r="H159" s="31">
        <v>306</v>
      </c>
      <c r="I159" s="31">
        <v>31316</v>
      </c>
      <c r="J159" s="31">
        <v>27897</v>
      </c>
      <c r="K159" s="31">
        <v>88</v>
      </c>
      <c r="L159" s="31" t="s">
        <v>41</v>
      </c>
      <c r="M159" s="31"/>
      <c r="N159" s="33">
        <f>(Table1[[#This Row],[Likes]]+Table1[[#This Row],[Shares]]+Table1[[#This Row],[Comments]])/Table1[[#This Row],[Impressions]]</f>
        <v>8.4525482181632389E-2</v>
      </c>
      <c r="O159" s="31">
        <f>SUM(Table1[[#This Row],[Likes]:[Comments]])</f>
        <v>2647</v>
      </c>
    </row>
    <row r="160" spans="1:15" ht="15.75" customHeight="1">
      <c r="A160" s="31" t="s">
        <v>211</v>
      </c>
      <c r="B160" s="31" t="s">
        <v>14</v>
      </c>
      <c r="C160" s="32">
        <v>45475</v>
      </c>
      <c r="D160" s="31" t="s">
        <v>15</v>
      </c>
      <c r="E160" s="31" t="s">
        <v>37</v>
      </c>
      <c r="F160" s="31">
        <v>3469</v>
      </c>
      <c r="G160" s="31">
        <v>371</v>
      </c>
      <c r="H160" s="31">
        <v>76</v>
      </c>
      <c r="I160" s="31">
        <v>46493</v>
      </c>
      <c r="J160" s="31">
        <v>26906</v>
      </c>
      <c r="K160" s="31">
        <v>150</v>
      </c>
      <c r="L160" s="31" t="s">
        <v>41</v>
      </c>
      <c r="M160" s="31" t="s">
        <v>38</v>
      </c>
      <c r="N160" s="33">
        <f>(Table1[[#This Row],[Likes]]+Table1[[#This Row],[Shares]]+Table1[[#This Row],[Comments]])/Table1[[#This Row],[Impressions]]</f>
        <v>8.4227733207149463E-2</v>
      </c>
      <c r="O160" s="31">
        <f>SUM(Table1[[#This Row],[Likes]:[Comments]])</f>
        <v>3916</v>
      </c>
    </row>
    <row r="161" spans="1:15" ht="15.75" customHeight="1">
      <c r="A161" s="31" t="s">
        <v>319</v>
      </c>
      <c r="B161" s="31" t="s">
        <v>14</v>
      </c>
      <c r="C161" s="32">
        <v>45589</v>
      </c>
      <c r="D161" s="31" t="s">
        <v>24</v>
      </c>
      <c r="E161" s="31" t="s">
        <v>37</v>
      </c>
      <c r="F161" s="31">
        <v>1914</v>
      </c>
      <c r="G161" s="31">
        <v>255</v>
      </c>
      <c r="H161" s="31">
        <v>156</v>
      </c>
      <c r="I161" s="31">
        <v>27660</v>
      </c>
      <c r="J161" s="31">
        <v>47776</v>
      </c>
      <c r="K161" s="31">
        <v>111</v>
      </c>
      <c r="L161" s="31" t="s">
        <v>38</v>
      </c>
      <c r="M161" s="31"/>
      <c r="N161" s="33">
        <f>(Table1[[#This Row],[Likes]]+Table1[[#This Row],[Shares]]+Table1[[#This Row],[Comments]])/Table1[[#This Row],[Impressions]]</f>
        <v>8.4056399132321047E-2</v>
      </c>
      <c r="O161" s="31">
        <f>SUM(Table1[[#This Row],[Likes]:[Comments]])</f>
        <v>2325</v>
      </c>
    </row>
    <row r="162" spans="1:15" ht="15.75" customHeight="1">
      <c r="A162" s="31" t="s">
        <v>312</v>
      </c>
      <c r="B162" s="31" t="s">
        <v>14</v>
      </c>
      <c r="C162" s="32">
        <v>45691</v>
      </c>
      <c r="D162" s="31" t="s">
        <v>24</v>
      </c>
      <c r="E162" s="31" t="s">
        <v>25</v>
      </c>
      <c r="F162" s="31">
        <v>1205</v>
      </c>
      <c r="G162" s="31">
        <v>486</v>
      </c>
      <c r="H162" s="31">
        <v>269</v>
      </c>
      <c r="I162" s="31">
        <v>23341</v>
      </c>
      <c r="J162" s="31">
        <v>42411</v>
      </c>
      <c r="K162" s="31">
        <v>184</v>
      </c>
      <c r="L162" s="31" t="s">
        <v>38</v>
      </c>
      <c r="M162" s="31"/>
      <c r="N162" s="33">
        <f>(Table1[[#This Row],[Likes]]+Table1[[#This Row],[Shares]]+Table1[[#This Row],[Comments]])/Table1[[#This Row],[Impressions]]</f>
        <v>8.3972409065592737E-2</v>
      </c>
      <c r="O162" s="31">
        <f>SUM(Table1[[#This Row],[Likes]:[Comments]])</f>
        <v>1960</v>
      </c>
    </row>
    <row r="163" spans="1:15" ht="15.75" customHeight="1">
      <c r="A163" s="31" t="s">
        <v>36</v>
      </c>
      <c r="B163" s="31" t="s">
        <v>23</v>
      </c>
      <c r="C163" s="32">
        <v>45823</v>
      </c>
      <c r="D163" s="31" t="s">
        <v>15</v>
      </c>
      <c r="E163" s="31" t="s">
        <v>37</v>
      </c>
      <c r="F163" s="31">
        <v>4432</v>
      </c>
      <c r="G163" s="31">
        <v>223</v>
      </c>
      <c r="H163" s="31">
        <v>299</v>
      </c>
      <c r="I163" s="31">
        <v>59016</v>
      </c>
      <c r="J163" s="31">
        <v>21742</v>
      </c>
      <c r="K163" s="31">
        <v>171</v>
      </c>
      <c r="L163" s="31" t="s">
        <v>38</v>
      </c>
      <c r="M163" s="31"/>
      <c r="N163" s="33">
        <f>(Table1[[#This Row],[Likes]]+Table1[[#This Row],[Shares]]+Table1[[#This Row],[Comments]])/Table1[[#This Row],[Impressions]]</f>
        <v>8.3943337400027115E-2</v>
      </c>
      <c r="O163" s="31">
        <f>SUM(Table1[[#This Row],[Likes]:[Comments]])</f>
        <v>4954</v>
      </c>
    </row>
    <row r="164" spans="1:15" ht="15.75" customHeight="1">
      <c r="A164" s="31" t="s">
        <v>295</v>
      </c>
      <c r="B164" s="31" t="s">
        <v>23</v>
      </c>
      <c r="C164" s="32">
        <v>45662</v>
      </c>
      <c r="D164" s="31" t="s">
        <v>24</v>
      </c>
      <c r="E164" s="31" t="s">
        <v>19</v>
      </c>
      <c r="F164" s="31">
        <v>3341</v>
      </c>
      <c r="G164" s="31">
        <v>154</v>
      </c>
      <c r="H164" s="31">
        <v>123</v>
      </c>
      <c r="I164" s="31">
        <v>43369</v>
      </c>
      <c r="J164" s="31">
        <v>49035</v>
      </c>
      <c r="K164" s="31">
        <v>128</v>
      </c>
      <c r="L164" s="31" t="s">
        <v>368</v>
      </c>
      <c r="M164" s="31" t="s">
        <v>38</v>
      </c>
      <c r="N164" s="33">
        <f>(Table1[[#This Row],[Likes]]+Table1[[#This Row],[Shares]]+Table1[[#This Row],[Comments]])/Table1[[#This Row],[Impressions]]</f>
        <v>8.3423643616408028E-2</v>
      </c>
      <c r="O164" s="31">
        <f>SUM(Table1[[#This Row],[Likes]:[Comments]])</f>
        <v>3618</v>
      </c>
    </row>
    <row r="165" spans="1:15" ht="15.75" customHeight="1">
      <c r="A165" s="31" t="s">
        <v>194</v>
      </c>
      <c r="B165" s="31" t="s">
        <v>14</v>
      </c>
      <c r="C165" s="32">
        <v>45394</v>
      </c>
      <c r="D165" s="31" t="s">
        <v>24</v>
      </c>
      <c r="E165" s="31" t="s">
        <v>34</v>
      </c>
      <c r="F165" s="31">
        <v>1558</v>
      </c>
      <c r="G165" s="31">
        <v>352</v>
      </c>
      <c r="H165" s="31">
        <v>202</v>
      </c>
      <c r="I165" s="31">
        <v>25405</v>
      </c>
      <c r="J165" s="31">
        <v>69941</v>
      </c>
      <c r="K165" s="31">
        <v>219</v>
      </c>
      <c r="L165" s="31" t="s">
        <v>38</v>
      </c>
      <c r="M165" s="31"/>
      <c r="N165" s="33">
        <f>(Table1[[#This Row],[Likes]]+Table1[[#This Row],[Shares]]+Table1[[#This Row],[Comments]])/Table1[[#This Row],[Impressions]]</f>
        <v>8.3133241487896081E-2</v>
      </c>
      <c r="O165" s="31">
        <f>SUM(Table1[[#This Row],[Likes]:[Comments]])</f>
        <v>2112</v>
      </c>
    </row>
    <row r="166" spans="1:15" ht="15.75" customHeight="1">
      <c r="A166" s="31" t="s">
        <v>136</v>
      </c>
      <c r="B166" s="31" t="s">
        <v>23</v>
      </c>
      <c r="C166" s="32">
        <v>45577</v>
      </c>
      <c r="D166" s="31" t="s">
        <v>15</v>
      </c>
      <c r="E166" s="31" t="s">
        <v>34</v>
      </c>
      <c r="F166" s="31">
        <v>3169</v>
      </c>
      <c r="G166" s="31">
        <v>386</v>
      </c>
      <c r="H166" s="31">
        <v>175</v>
      </c>
      <c r="I166" s="31">
        <v>45012</v>
      </c>
      <c r="J166" s="31">
        <v>38508</v>
      </c>
      <c r="K166" s="31">
        <v>218</v>
      </c>
      <c r="L166" s="31" t="s">
        <v>38</v>
      </c>
      <c r="M166" s="31"/>
      <c r="N166" s="33">
        <f>(Table1[[#This Row],[Likes]]+Table1[[#This Row],[Shares]]+Table1[[#This Row],[Comments]])/Table1[[#This Row],[Impressions]]</f>
        <v>8.2866791077934779E-2</v>
      </c>
      <c r="O166" s="31">
        <f>SUM(Table1[[#This Row],[Likes]:[Comments]])</f>
        <v>3730</v>
      </c>
    </row>
    <row r="167" spans="1:15" ht="15.75" customHeight="1">
      <c r="A167" s="31" t="s">
        <v>250</v>
      </c>
      <c r="B167" s="31" t="s">
        <v>29</v>
      </c>
      <c r="C167" s="32">
        <v>45672</v>
      </c>
      <c r="D167" s="31" t="s">
        <v>15</v>
      </c>
      <c r="E167" s="31" t="s">
        <v>47</v>
      </c>
      <c r="F167" s="31">
        <v>2599</v>
      </c>
      <c r="G167" s="31">
        <v>324</v>
      </c>
      <c r="H167" s="31">
        <v>182</v>
      </c>
      <c r="I167" s="31">
        <v>37525</v>
      </c>
      <c r="J167" s="31">
        <v>37216</v>
      </c>
      <c r="K167" s="31">
        <v>186</v>
      </c>
      <c r="L167" s="31" t="s">
        <v>20</v>
      </c>
      <c r="M167" s="31" t="s">
        <v>369</v>
      </c>
      <c r="N167" s="33">
        <f>(Table1[[#This Row],[Likes]]+Table1[[#This Row],[Shares]]+Table1[[#This Row],[Comments]])/Table1[[#This Row],[Impressions]]</f>
        <v>8.2744836775483013E-2</v>
      </c>
      <c r="O167" s="31">
        <f>SUM(Table1[[#This Row],[Likes]:[Comments]])</f>
        <v>3105</v>
      </c>
    </row>
    <row r="168" spans="1:15" ht="15.75" customHeight="1">
      <c r="A168" s="31" t="s">
        <v>238</v>
      </c>
      <c r="B168" s="31" t="s">
        <v>14</v>
      </c>
      <c r="C168" s="32">
        <v>45571</v>
      </c>
      <c r="D168" s="31" t="s">
        <v>15</v>
      </c>
      <c r="E168" s="31" t="s">
        <v>37</v>
      </c>
      <c r="F168" s="31">
        <v>2080</v>
      </c>
      <c r="G168" s="31">
        <v>389</v>
      </c>
      <c r="H168" s="31">
        <v>92</v>
      </c>
      <c r="I168" s="31">
        <v>30971</v>
      </c>
      <c r="J168" s="31">
        <v>25347</v>
      </c>
      <c r="K168" s="31">
        <v>111</v>
      </c>
      <c r="L168" s="31" t="s">
        <v>20</v>
      </c>
      <c r="M168" s="31"/>
      <c r="N168" s="33">
        <f>(Table1[[#This Row],[Likes]]+Table1[[#This Row],[Shares]]+Table1[[#This Row],[Comments]])/Table1[[#This Row],[Impressions]]</f>
        <v>8.2690258629040073E-2</v>
      </c>
      <c r="O168" s="31">
        <f>SUM(Table1[[#This Row],[Likes]:[Comments]])</f>
        <v>2561</v>
      </c>
    </row>
    <row r="169" spans="1:15" ht="15.75" customHeight="1">
      <c r="A169" s="31" t="s">
        <v>188</v>
      </c>
      <c r="B169" s="31" t="s">
        <v>23</v>
      </c>
      <c r="C169" s="32">
        <v>45819</v>
      </c>
      <c r="D169" s="31" t="s">
        <v>24</v>
      </c>
      <c r="E169" s="31" t="s">
        <v>19</v>
      </c>
      <c r="F169" s="31">
        <v>3805</v>
      </c>
      <c r="G169" s="31">
        <v>453</v>
      </c>
      <c r="H169" s="31">
        <v>63</v>
      </c>
      <c r="I169" s="31">
        <v>52395</v>
      </c>
      <c r="J169" s="31">
        <v>72934</v>
      </c>
      <c r="K169" s="31">
        <v>87</v>
      </c>
      <c r="L169" s="31" t="s">
        <v>20</v>
      </c>
      <c r="M169" s="31" t="s">
        <v>368</v>
      </c>
      <c r="N169" s="33">
        <f>(Table1[[#This Row],[Likes]]+Table1[[#This Row],[Shares]]+Table1[[#This Row],[Comments]])/Table1[[#This Row],[Impressions]]</f>
        <v>8.2469701307376658E-2</v>
      </c>
      <c r="O169" s="31">
        <f>SUM(Table1[[#This Row],[Likes]:[Comments]])</f>
        <v>4321</v>
      </c>
    </row>
    <row r="170" spans="1:15" ht="15.75" customHeight="1">
      <c r="A170" s="31" t="s">
        <v>63</v>
      </c>
      <c r="B170" s="31" t="s">
        <v>29</v>
      </c>
      <c r="C170" s="32">
        <v>45356</v>
      </c>
      <c r="D170" s="31" t="s">
        <v>53</v>
      </c>
      <c r="E170" s="31" t="s">
        <v>19</v>
      </c>
      <c r="F170" s="31">
        <v>3558</v>
      </c>
      <c r="G170" s="31">
        <v>314</v>
      </c>
      <c r="H170" s="31">
        <v>199</v>
      </c>
      <c r="I170" s="31">
        <v>49612</v>
      </c>
      <c r="J170" s="31">
        <v>53929</v>
      </c>
      <c r="K170" s="31">
        <v>206</v>
      </c>
      <c r="L170" s="31" t="s">
        <v>20</v>
      </c>
      <c r="M170" s="31" t="s">
        <v>41</v>
      </c>
      <c r="N170" s="33">
        <f>(Table1[[#This Row],[Likes]]+Table1[[#This Row],[Shares]]+Table1[[#This Row],[Comments]])/Table1[[#This Row],[Impressions]]</f>
        <v>8.205676046117874E-2</v>
      </c>
      <c r="O170" s="31">
        <f>SUM(Table1[[#This Row],[Likes]:[Comments]])</f>
        <v>4071</v>
      </c>
    </row>
    <row r="171" spans="1:15" ht="15.75" customHeight="1">
      <c r="A171" s="31" t="s">
        <v>271</v>
      </c>
      <c r="B171" s="31" t="s">
        <v>14</v>
      </c>
      <c r="C171" s="32">
        <v>45646</v>
      </c>
      <c r="D171" s="31" t="s">
        <v>15</v>
      </c>
      <c r="E171" s="31" t="s">
        <v>16</v>
      </c>
      <c r="F171" s="31">
        <v>2519</v>
      </c>
      <c r="G171" s="31">
        <v>202</v>
      </c>
      <c r="H171" s="31">
        <v>239</v>
      </c>
      <c r="I171" s="31">
        <v>36245</v>
      </c>
      <c r="J171" s="31">
        <v>48606</v>
      </c>
      <c r="K171" s="31">
        <v>145</v>
      </c>
      <c r="L171" s="31" t="s">
        <v>20</v>
      </c>
      <c r="M171" s="31"/>
      <c r="N171" s="33">
        <f>(Table1[[#This Row],[Likes]]+Table1[[#This Row],[Shares]]+Table1[[#This Row],[Comments]])/Table1[[#This Row],[Impressions]]</f>
        <v>8.1666436749896543E-2</v>
      </c>
      <c r="O171" s="31">
        <f>SUM(Table1[[#This Row],[Likes]:[Comments]])</f>
        <v>2960</v>
      </c>
    </row>
    <row r="172" spans="1:15" ht="15.75" customHeight="1">
      <c r="A172" s="31" t="s">
        <v>107</v>
      </c>
      <c r="B172" s="31" t="s">
        <v>14</v>
      </c>
      <c r="C172" s="32">
        <v>45576</v>
      </c>
      <c r="D172" s="31" t="s">
        <v>15</v>
      </c>
      <c r="E172" s="31" t="s">
        <v>45</v>
      </c>
      <c r="F172" s="31">
        <v>1360</v>
      </c>
      <c r="G172" s="31">
        <v>249</v>
      </c>
      <c r="H172" s="31">
        <v>52</v>
      </c>
      <c r="I172" s="31">
        <v>20368</v>
      </c>
      <c r="J172" s="31">
        <v>42152</v>
      </c>
      <c r="K172" s="31">
        <v>193</v>
      </c>
      <c r="L172" s="31" t="s">
        <v>20</v>
      </c>
      <c r="M172" s="31"/>
      <c r="N172" s="33">
        <f>(Table1[[#This Row],[Likes]]+Table1[[#This Row],[Shares]]+Table1[[#This Row],[Comments]])/Table1[[#This Row],[Impressions]]</f>
        <v>8.1549489395129612E-2</v>
      </c>
      <c r="O172" s="31">
        <f>SUM(Table1[[#This Row],[Likes]:[Comments]])</f>
        <v>1661</v>
      </c>
    </row>
    <row r="173" spans="1:15" ht="15.75" customHeight="1">
      <c r="A173" s="31" t="s">
        <v>181</v>
      </c>
      <c r="B173" s="31" t="s">
        <v>14</v>
      </c>
      <c r="C173" s="32">
        <v>45799</v>
      </c>
      <c r="D173" s="31" t="s">
        <v>15</v>
      </c>
      <c r="E173" s="31" t="s">
        <v>16</v>
      </c>
      <c r="F173" s="31">
        <v>2633</v>
      </c>
      <c r="G173" s="31">
        <v>318</v>
      </c>
      <c r="H173" s="31">
        <v>380</v>
      </c>
      <c r="I173" s="31">
        <v>40869</v>
      </c>
      <c r="J173" s="31">
        <v>64474</v>
      </c>
      <c r="K173" s="31">
        <v>245</v>
      </c>
      <c r="L173" s="31" t="s">
        <v>20</v>
      </c>
      <c r="M173" s="31"/>
      <c r="N173" s="33">
        <f>(Table1[[#This Row],[Likes]]+Table1[[#This Row],[Shares]]+Table1[[#This Row],[Comments]])/Table1[[#This Row],[Impressions]]</f>
        <v>8.1504318676747664E-2</v>
      </c>
      <c r="O173" s="31">
        <f>SUM(Table1[[#This Row],[Likes]:[Comments]])</f>
        <v>3331</v>
      </c>
    </row>
    <row r="174" spans="1:15" ht="15.75" customHeight="1">
      <c r="A174" s="31" t="s">
        <v>184</v>
      </c>
      <c r="B174" s="31" t="s">
        <v>23</v>
      </c>
      <c r="C174" s="32">
        <v>45760</v>
      </c>
      <c r="D174" s="31" t="s">
        <v>15</v>
      </c>
      <c r="E174" s="31" t="s">
        <v>45</v>
      </c>
      <c r="F174" s="31">
        <v>3890</v>
      </c>
      <c r="G174" s="31">
        <v>408</v>
      </c>
      <c r="H174" s="31">
        <v>338</v>
      </c>
      <c r="I174" s="31">
        <v>56994</v>
      </c>
      <c r="J174" s="31">
        <v>32621</v>
      </c>
      <c r="K174" s="31">
        <v>286</v>
      </c>
      <c r="L174" s="31" t="s">
        <v>41</v>
      </c>
      <c r="M174" s="31"/>
      <c r="N174" s="33">
        <f>(Table1[[#This Row],[Likes]]+Table1[[#This Row],[Shares]]+Table1[[#This Row],[Comments]])/Table1[[#This Row],[Impressions]]</f>
        <v>8.1341895638137346E-2</v>
      </c>
      <c r="O174" s="31">
        <f>SUM(Table1[[#This Row],[Likes]:[Comments]])</f>
        <v>4636</v>
      </c>
    </row>
    <row r="175" spans="1:15" ht="15.75" customHeight="1">
      <c r="A175" s="31" t="s">
        <v>60</v>
      </c>
      <c r="B175" s="31" t="s">
        <v>29</v>
      </c>
      <c r="C175" s="32">
        <v>45575</v>
      </c>
      <c r="D175" s="31" t="s">
        <v>53</v>
      </c>
      <c r="E175" s="31" t="s">
        <v>45</v>
      </c>
      <c r="F175" s="31">
        <v>4013</v>
      </c>
      <c r="G175" s="31">
        <v>320</v>
      </c>
      <c r="H175" s="31">
        <v>92</v>
      </c>
      <c r="I175" s="31">
        <v>54605</v>
      </c>
      <c r="J175" s="31">
        <v>60169</v>
      </c>
      <c r="K175" s="31">
        <v>232</v>
      </c>
      <c r="L175" s="31" t="s">
        <v>20</v>
      </c>
      <c r="M175" s="31" t="s">
        <v>41</v>
      </c>
      <c r="N175" s="33">
        <f>(Table1[[#This Row],[Likes]]+Table1[[#This Row],[Shares]]+Table1[[#This Row],[Comments]])/Table1[[#This Row],[Impressions]]</f>
        <v>8.1036535115831879E-2</v>
      </c>
      <c r="O175" s="31">
        <f>SUM(Table1[[#This Row],[Likes]:[Comments]])</f>
        <v>4425</v>
      </c>
    </row>
    <row r="176" spans="1:15" ht="15.75" customHeight="1">
      <c r="A176" s="31" t="s">
        <v>268</v>
      </c>
      <c r="B176" s="31" t="s">
        <v>23</v>
      </c>
      <c r="C176" s="32">
        <v>45585</v>
      </c>
      <c r="D176" s="31" t="s">
        <v>15</v>
      </c>
      <c r="E176" s="31" t="s">
        <v>45</v>
      </c>
      <c r="F176" s="31">
        <v>2752</v>
      </c>
      <c r="G176" s="31">
        <v>309</v>
      </c>
      <c r="H176" s="31">
        <v>91</v>
      </c>
      <c r="I176" s="31">
        <v>39038</v>
      </c>
      <c r="J176" s="31">
        <v>28095</v>
      </c>
      <c r="K176" s="31">
        <v>277</v>
      </c>
      <c r="L176" s="31" t="s">
        <v>38</v>
      </c>
      <c r="M176" s="31"/>
      <c r="N176" s="33">
        <f>(Table1[[#This Row],[Likes]]+Table1[[#This Row],[Shares]]+Table1[[#This Row],[Comments]])/Table1[[#This Row],[Impressions]]</f>
        <v>8.0741841282852611E-2</v>
      </c>
      <c r="O176" s="31">
        <f>SUM(Table1[[#This Row],[Likes]:[Comments]])</f>
        <v>3152</v>
      </c>
    </row>
    <row r="177" spans="1:15" ht="15.75" customHeight="1">
      <c r="A177" s="31" t="s">
        <v>66</v>
      </c>
      <c r="B177" s="31" t="s">
        <v>14</v>
      </c>
      <c r="C177" s="32">
        <v>45658</v>
      </c>
      <c r="D177" s="31" t="s">
        <v>15</v>
      </c>
      <c r="E177" s="31" t="s">
        <v>25</v>
      </c>
      <c r="F177" s="31">
        <v>4036</v>
      </c>
      <c r="G177" s="31">
        <v>112</v>
      </c>
      <c r="H177" s="31">
        <v>382</v>
      </c>
      <c r="I177" s="31">
        <v>56284</v>
      </c>
      <c r="J177" s="31">
        <v>29440</v>
      </c>
      <c r="K177" s="31">
        <v>279</v>
      </c>
      <c r="L177" s="31" t="s">
        <v>41</v>
      </c>
      <c r="M177" s="31" t="s">
        <v>38</v>
      </c>
      <c r="N177" s="33">
        <f>(Table1[[#This Row],[Likes]]+Table1[[#This Row],[Shares]]+Table1[[#This Row],[Comments]])/Table1[[#This Row],[Impressions]]</f>
        <v>8.0484684812735408E-2</v>
      </c>
      <c r="O177" s="31">
        <f>SUM(Table1[[#This Row],[Likes]:[Comments]])</f>
        <v>4530</v>
      </c>
    </row>
    <row r="178" spans="1:15" ht="15.75" customHeight="1">
      <c r="A178" s="31" t="s">
        <v>255</v>
      </c>
      <c r="B178" s="31" t="s">
        <v>29</v>
      </c>
      <c r="C178" s="32">
        <v>45636</v>
      </c>
      <c r="D178" s="31" t="s">
        <v>15</v>
      </c>
      <c r="E178" s="31" t="s">
        <v>32</v>
      </c>
      <c r="F178" s="31">
        <v>2569</v>
      </c>
      <c r="G178" s="31">
        <v>140</v>
      </c>
      <c r="H178" s="31">
        <v>375</v>
      </c>
      <c r="I178" s="31">
        <v>38372</v>
      </c>
      <c r="J178" s="31">
        <v>22102</v>
      </c>
      <c r="K178" s="31">
        <v>255</v>
      </c>
      <c r="L178" s="31" t="s">
        <v>20</v>
      </c>
      <c r="M178" s="31" t="s">
        <v>369</v>
      </c>
      <c r="N178" s="33">
        <f>(Table1[[#This Row],[Likes]]+Table1[[#This Row],[Shares]]+Table1[[#This Row],[Comments]])/Table1[[#This Row],[Impressions]]</f>
        <v>8.0371103929948923E-2</v>
      </c>
      <c r="O178" s="31">
        <f>SUM(Table1[[#This Row],[Likes]:[Comments]])</f>
        <v>3084</v>
      </c>
    </row>
    <row r="179" spans="1:15" ht="15.75" customHeight="1">
      <c r="A179" s="31" t="s">
        <v>58</v>
      </c>
      <c r="B179" s="31" t="s">
        <v>29</v>
      </c>
      <c r="C179" s="32">
        <v>45452</v>
      </c>
      <c r="D179" s="31" t="s">
        <v>53</v>
      </c>
      <c r="E179" s="31" t="s">
        <v>45</v>
      </c>
      <c r="F179" s="31">
        <v>2786</v>
      </c>
      <c r="G179" s="31">
        <v>368</v>
      </c>
      <c r="H179" s="31">
        <v>208</v>
      </c>
      <c r="I179" s="31">
        <v>42000</v>
      </c>
      <c r="J179" s="31">
        <v>39967</v>
      </c>
      <c r="K179" s="31">
        <v>103</v>
      </c>
      <c r="L179" s="31" t="s">
        <v>20</v>
      </c>
      <c r="M179" s="31" t="s">
        <v>41</v>
      </c>
      <c r="N179" s="33">
        <f>(Table1[[#This Row],[Likes]]+Table1[[#This Row],[Shares]]+Table1[[#This Row],[Comments]])/Table1[[#This Row],[Impressions]]</f>
        <v>8.0047619047619048E-2</v>
      </c>
      <c r="O179" s="31">
        <f>SUM(Table1[[#This Row],[Likes]:[Comments]])</f>
        <v>3362</v>
      </c>
    </row>
    <row r="180" spans="1:15" ht="15.75" customHeight="1">
      <c r="A180" s="31" t="s">
        <v>164</v>
      </c>
      <c r="B180" s="31" t="s">
        <v>23</v>
      </c>
      <c r="C180" s="32">
        <v>45839</v>
      </c>
      <c r="D180" s="31" t="s">
        <v>24</v>
      </c>
      <c r="E180" s="31" t="s">
        <v>19</v>
      </c>
      <c r="F180" s="31">
        <v>3219</v>
      </c>
      <c r="G180" s="31">
        <v>424</v>
      </c>
      <c r="H180" s="31">
        <v>267</v>
      </c>
      <c r="I180" s="31">
        <v>48879</v>
      </c>
      <c r="J180" s="31">
        <v>37691</v>
      </c>
      <c r="K180" s="31">
        <v>224</v>
      </c>
      <c r="L180" s="31" t="s">
        <v>20</v>
      </c>
      <c r="M180" s="31" t="s">
        <v>368</v>
      </c>
      <c r="N180" s="33">
        <f>(Table1[[#This Row],[Likes]]+Table1[[#This Row],[Shares]]+Table1[[#This Row],[Comments]])/Table1[[#This Row],[Impressions]]</f>
        <v>7.9993453221219743E-2</v>
      </c>
      <c r="O180" s="31">
        <f>SUM(Table1[[#This Row],[Likes]:[Comments]])</f>
        <v>3910</v>
      </c>
    </row>
    <row r="181" spans="1:15" ht="15.75" customHeight="1">
      <c r="A181" s="31" t="s">
        <v>241</v>
      </c>
      <c r="B181" s="31" t="s">
        <v>23</v>
      </c>
      <c r="C181" s="32">
        <v>45525</v>
      </c>
      <c r="D181" s="31" t="s">
        <v>24</v>
      </c>
      <c r="E181" s="31" t="s">
        <v>19</v>
      </c>
      <c r="F181" s="31">
        <v>3989</v>
      </c>
      <c r="G181" s="31">
        <v>476</v>
      </c>
      <c r="H181" s="31">
        <v>128</v>
      </c>
      <c r="I181" s="31">
        <v>57569</v>
      </c>
      <c r="J181" s="31">
        <v>40193</v>
      </c>
      <c r="K181" s="31">
        <v>222</v>
      </c>
      <c r="L181" s="31" t="s">
        <v>20</v>
      </c>
      <c r="M181" s="31" t="s">
        <v>368</v>
      </c>
      <c r="N181" s="33">
        <f>(Table1[[#This Row],[Likes]]+Table1[[#This Row],[Shares]]+Table1[[#This Row],[Comments]])/Table1[[#This Row],[Impressions]]</f>
        <v>7.9782521843353188E-2</v>
      </c>
      <c r="O181" s="31">
        <f>SUM(Table1[[#This Row],[Likes]:[Comments]])</f>
        <v>4593</v>
      </c>
    </row>
    <row r="182" spans="1:15" ht="15.75" customHeight="1">
      <c r="A182" s="31" t="s">
        <v>127</v>
      </c>
      <c r="B182" s="31" t="s">
        <v>29</v>
      </c>
      <c r="C182" s="32">
        <v>45376</v>
      </c>
      <c r="D182" s="31" t="s">
        <v>53</v>
      </c>
      <c r="E182" s="31" t="s">
        <v>19</v>
      </c>
      <c r="F182" s="31">
        <v>1948</v>
      </c>
      <c r="G182" s="31">
        <v>155</v>
      </c>
      <c r="H182" s="31">
        <v>315</v>
      </c>
      <c r="I182" s="31">
        <v>30321</v>
      </c>
      <c r="J182" s="31">
        <v>57121</v>
      </c>
      <c r="K182" s="31">
        <v>82</v>
      </c>
      <c r="L182" s="31" t="s">
        <v>20</v>
      </c>
      <c r="M182" s="31" t="s">
        <v>41</v>
      </c>
      <c r="N182" s="33">
        <f>(Table1[[#This Row],[Likes]]+Table1[[#This Row],[Shares]]+Table1[[#This Row],[Comments]])/Table1[[#This Row],[Impressions]]</f>
        <v>7.974671020085089E-2</v>
      </c>
      <c r="O182" s="31">
        <f>SUM(Table1[[#This Row],[Likes]:[Comments]])</f>
        <v>2418</v>
      </c>
    </row>
    <row r="183" spans="1:15" ht="15.75" customHeight="1">
      <c r="A183" s="31" t="s">
        <v>126</v>
      </c>
      <c r="B183" s="31" t="s">
        <v>23</v>
      </c>
      <c r="C183" s="32">
        <v>45774</v>
      </c>
      <c r="D183" s="31" t="s">
        <v>15</v>
      </c>
      <c r="E183" s="31" t="s">
        <v>19</v>
      </c>
      <c r="F183" s="31">
        <v>1165</v>
      </c>
      <c r="G183" s="31">
        <v>294</v>
      </c>
      <c r="H183" s="31">
        <v>163</v>
      </c>
      <c r="I183" s="31">
        <v>20659</v>
      </c>
      <c r="J183" s="31">
        <v>45926</v>
      </c>
      <c r="K183" s="31">
        <v>111</v>
      </c>
      <c r="L183" s="31" t="s">
        <v>41</v>
      </c>
      <c r="M183" s="31"/>
      <c r="N183" s="33">
        <f>(Table1[[#This Row],[Likes]]+Table1[[#This Row],[Shares]]+Table1[[#This Row],[Comments]])/Table1[[#This Row],[Impressions]]</f>
        <v>7.8512996756861422E-2</v>
      </c>
      <c r="O183" s="31">
        <f>SUM(Table1[[#This Row],[Likes]:[Comments]])</f>
        <v>1622</v>
      </c>
    </row>
    <row r="184" spans="1:15" ht="15.75" customHeight="1">
      <c r="A184" s="31" t="s">
        <v>215</v>
      </c>
      <c r="B184" s="31" t="s">
        <v>23</v>
      </c>
      <c r="C184" s="32">
        <v>45777</v>
      </c>
      <c r="D184" s="31" t="s">
        <v>24</v>
      </c>
      <c r="E184" s="31" t="s">
        <v>27</v>
      </c>
      <c r="F184" s="31">
        <v>3929</v>
      </c>
      <c r="G184" s="31">
        <v>275</v>
      </c>
      <c r="H184" s="31">
        <v>330</v>
      </c>
      <c r="I184" s="31">
        <v>58329</v>
      </c>
      <c r="J184" s="31">
        <v>33196</v>
      </c>
      <c r="K184" s="31">
        <v>85</v>
      </c>
      <c r="L184" s="31" t="s">
        <v>368</v>
      </c>
      <c r="M184" s="31" t="s">
        <v>38</v>
      </c>
      <c r="N184" s="33">
        <f>(Table1[[#This Row],[Likes]]+Table1[[#This Row],[Shares]]+Table1[[#This Row],[Comments]])/Table1[[#This Row],[Impressions]]</f>
        <v>7.7731488624869283E-2</v>
      </c>
      <c r="O184" s="31">
        <f>SUM(Table1[[#This Row],[Likes]:[Comments]])</f>
        <v>4534</v>
      </c>
    </row>
    <row r="185" spans="1:15" ht="15.75" customHeight="1">
      <c r="A185" s="31" t="s">
        <v>240</v>
      </c>
      <c r="B185" s="31" t="s">
        <v>23</v>
      </c>
      <c r="C185" s="32">
        <v>45763</v>
      </c>
      <c r="D185" s="31" t="s">
        <v>15</v>
      </c>
      <c r="E185" s="31" t="s">
        <v>27</v>
      </c>
      <c r="F185" s="31">
        <v>3792</v>
      </c>
      <c r="G185" s="31">
        <v>315</v>
      </c>
      <c r="H185" s="31">
        <v>120</v>
      </c>
      <c r="I185" s="31">
        <v>54592</v>
      </c>
      <c r="J185" s="31">
        <v>67886</v>
      </c>
      <c r="K185" s="31">
        <v>117</v>
      </c>
      <c r="L185" s="31" t="s">
        <v>41</v>
      </c>
      <c r="M185" s="31"/>
      <c r="N185" s="33">
        <f>(Table1[[#This Row],[Likes]]+Table1[[#This Row],[Shares]]+Table1[[#This Row],[Comments]])/Table1[[#This Row],[Impressions]]</f>
        <v>7.7428927315357568E-2</v>
      </c>
      <c r="O185" s="31">
        <f>SUM(Table1[[#This Row],[Likes]:[Comments]])</f>
        <v>4227</v>
      </c>
    </row>
    <row r="186" spans="1:15" ht="15.75" customHeight="1">
      <c r="A186" s="31" t="s">
        <v>244</v>
      </c>
      <c r="B186" s="31" t="s">
        <v>23</v>
      </c>
      <c r="C186" s="32">
        <v>45492</v>
      </c>
      <c r="D186" s="31" t="s">
        <v>24</v>
      </c>
      <c r="E186" s="31" t="s">
        <v>32</v>
      </c>
      <c r="F186" s="31">
        <v>3071</v>
      </c>
      <c r="G186" s="31">
        <v>126</v>
      </c>
      <c r="H186" s="31">
        <v>200</v>
      </c>
      <c r="I186" s="31">
        <v>44013</v>
      </c>
      <c r="J186" s="31">
        <v>44679</v>
      </c>
      <c r="K186" s="31">
        <v>118</v>
      </c>
      <c r="L186" s="31" t="s">
        <v>20</v>
      </c>
      <c r="M186" s="31" t="s">
        <v>368</v>
      </c>
      <c r="N186" s="33">
        <f>(Table1[[#This Row],[Likes]]+Table1[[#This Row],[Shares]]+Table1[[#This Row],[Comments]])/Table1[[#This Row],[Impressions]]</f>
        <v>7.7181741758116915E-2</v>
      </c>
      <c r="O186" s="31">
        <f>SUM(Table1[[#This Row],[Likes]:[Comments]])</f>
        <v>3397</v>
      </c>
    </row>
    <row r="187" spans="1:15" ht="15.75" customHeight="1">
      <c r="A187" s="31" t="s">
        <v>111</v>
      </c>
      <c r="B187" s="31" t="s">
        <v>14</v>
      </c>
      <c r="C187" s="32">
        <v>45487</v>
      </c>
      <c r="D187" s="31" t="s">
        <v>15</v>
      </c>
      <c r="E187" s="31" t="s">
        <v>27</v>
      </c>
      <c r="F187" s="31">
        <v>2464</v>
      </c>
      <c r="G187" s="31">
        <v>401</v>
      </c>
      <c r="H187" s="31">
        <v>78</v>
      </c>
      <c r="I187" s="31">
        <v>38665</v>
      </c>
      <c r="J187" s="31">
        <v>73593</v>
      </c>
      <c r="K187" s="31">
        <v>207</v>
      </c>
      <c r="L187" s="31" t="s">
        <v>20</v>
      </c>
      <c r="M187" s="31"/>
      <c r="N187" s="33">
        <f>(Table1[[#This Row],[Likes]]+Table1[[#This Row],[Shares]]+Table1[[#This Row],[Comments]])/Table1[[#This Row],[Impressions]]</f>
        <v>7.611534979956032E-2</v>
      </c>
      <c r="O187" s="31">
        <f>SUM(Table1[[#This Row],[Likes]:[Comments]])</f>
        <v>2943</v>
      </c>
    </row>
    <row r="188" spans="1:15" ht="15.75" customHeight="1">
      <c r="A188" s="31" t="s">
        <v>67</v>
      </c>
      <c r="B188" s="31" t="s">
        <v>23</v>
      </c>
      <c r="C188" s="32">
        <v>45419</v>
      </c>
      <c r="D188" s="31" t="s">
        <v>24</v>
      </c>
      <c r="E188" s="31" t="s">
        <v>19</v>
      </c>
      <c r="F188" s="31">
        <v>2776</v>
      </c>
      <c r="G188" s="31">
        <v>307</v>
      </c>
      <c r="H188" s="31">
        <v>178</v>
      </c>
      <c r="I188" s="31">
        <v>43365</v>
      </c>
      <c r="J188" s="31">
        <v>48408</v>
      </c>
      <c r="K188" s="31">
        <v>138</v>
      </c>
      <c r="L188" s="31" t="s">
        <v>41</v>
      </c>
      <c r="M188" s="31" t="s">
        <v>38</v>
      </c>
      <c r="N188" s="33">
        <f>(Table1[[#This Row],[Likes]]+Table1[[#This Row],[Shares]]+Table1[[#This Row],[Comments]])/Table1[[#This Row],[Impressions]]</f>
        <v>7.519889311656866E-2</v>
      </c>
      <c r="O188" s="31">
        <f>SUM(Table1[[#This Row],[Likes]:[Comments]])</f>
        <v>3261</v>
      </c>
    </row>
    <row r="189" spans="1:15" ht="15.75" customHeight="1">
      <c r="A189" s="31" t="s">
        <v>294</v>
      </c>
      <c r="B189" s="31" t="s">
        <v>23</v>
      </c>
      <c r="C189" s="32">
        <v>45676</v>
      </c>
      <c r="D189" s="31" t="s">
        <v>24</v>
      </c>
      <c r="E189" s="31" t="s">
        <v>30</v>
      </c>
      <c r="F189" s="31">
        <v>1651</v>
      </c>
      <c r="G189" s="31">
        <v>480</v>
      </c>
      <c r="H189" s="31">
        <v>282</v>
      </c>
      <c r="I189" s="31">
        <v>32140</v>
      </c>
      <c r="J189" s="31">
        <v>70560</v>
      </c>
      <c r="K189" s="31">
        <v>138</v>
      </c>
      <c r="L189" s="31" t="s">
        <v>41</v>
      </c>
      <c r="M189" s="31" t="s">
        <v>38</v>
      </c>
      <c r="N189" s="33">
        <f>(Table1[[#This Row],[Likes]]+Table1[[#This Row],[Shares]]+Table1[[#This Row],[Comments]])/Table1[[#This Row],[Impressions]]</f>
        <v>7.5077784691972627E-2</v>
      </c>
      <c r="O189" s="31">
        <f>SUM(Table1[[#This Row],[Likes]:[Comments]])</f>
        <v>2413</v>
      </c>
    </row>
    <row r="190" spans="1:15" ht="15.75" customHeight="1">
      <c r="A190" s="31" t="s">
        <v>169</v>
      </c>
      <c r="B190" s="31" t="s">
        <v>23</v>
      </c>
      <c r="C190" s="32">
        <v>45792</v>
      </c>
      <c r="D190" s="31" t="s">
        <v>15</v>
      </c>
      <c r="E190" s="31" t="s">
        <v>25</v>
      </c>
      <c r="F190" s="31">
        <v>1583</v>
      </c>
      <c r="G190" s="31">
        <v>433</v>
      </c>
      <c r="H190" s="31">
        <v>249</v>
      </c>
      <c r="I190" s="31">
        <v>30256</v>
      </c>
      <c r="J190" s="31">
        <v>47066</v>
      </c>
      <c r="K190" s="31">
        <v>196</v>
      </c>
      <c r="L190" s="31" t="s">
        <v>38</v>
      </c>
      <c r="M190" s="31"/>
      <c r="N190" s="33">
        <f>(Table1[[#This Row],[Likes]]+Table1[[#This Row],[Shares]]+Table1[[#This Row],[Comments]])/Table1[[#This Row],[Impressions]]</f>
        <v>7.4861184558434685E-2</v>
      </c>
      <c r="O190" s="31">
        <f>SUM(Table1[[#This Row],[Likes]:[Comments]])</f>
        <v>2265</v>
      </c>
    </row>
    <row r="191" spans="1:15" ht="15.75" customHeight="1">
      <c r="A191" s="31" t="s">
        <v>31</v>
      </c>
      <c r="B191" s="31" t="s">
        <v>29</v>
      </c>
      <c r="C191" s="32">
        <v>45456</v>
      </c>
      <c r="D191" s="31" t="s">
        <v>15</v>
      </c>
      <c r="E191" s="31" t="s">
        <v>32</v>
      </c>
      <c r="F191" s="31">
        <v>3882</v>
      </c>
      <c r="G191" s="31">
        <v>239</v>
      </c>
      <c r="H191" s="31">
        <v>275</v>
      </c>
      <c r="I191" s="31">
        <v>58748</v>
      </c>
      <c r="J191" s="31">
        <v>44646</v>
      </c>
      <c r="K191" s="31">
        <v>149</v>
      </c>
      <c r="L191" s="31" t="s">
        <v>20</v>
      </c>
      <c r="M191" s="31" t="s">
        <v>369</v>
      </c>
      <c r="N191" s="33">
        <f>(Table1[[#This Row],[Likes]]+Table1[[#This Row],[Shares]]+Table1[[#This Row],[Comments]])/Table1[[#This Row],[Impressions]]</f>
        <v>7.4828079253761837E-2</v>
      </c>
      <c r="O191" s="31">
        <f>SUM(Table1[[#This Row],[Likes]:[Comments]])</f>
        <v>4396</v>
      </c>
    </row>
    <row r="192" spans="1:15" ht="15.75" customHeight="1">
      <c r="A192" s="31" t="s">
        <v>43</v>
      </c>
      <c r="B192" s="31" t="s">
        <v>23</v>
      </c>
      <c r="C192" s="32">
        <v>45826</v>
      </c>
      <c r="D192" s="31" t="s">
        <v>24</v>
      </c>
      <c r="E192" s="31" t="s">
        <v>16</v>
      </c>
      <c r="F192" s="31">
        <v>3956</v>
      </c>
      <c r="G192" s="31">
        <v>319</v>
      </c>
      <c r="H192" s="31">
        <v>61</v>
      </c>
      <c r="I192" s="31">
        <v>58162</v>
      </c>
      <c r="J192" s="31">
        <v>28720</v>
      </c>
      <c r="K192" s="31">
        <v>213</v>
      </c>
      <c r="L192" s="31" t="s">
        <v>368</v>
      </c>
      <c r="M192" s="31" t="s">
        <v>38</v>
      </c>
      <c r="N192" s="33">
        <f>(Table1[[#This Row],[Likes]]+Table1[[#This Row],[Shares]]+Table1[[#This Row],[Comments]])/Table1[[#This Row],[Impressions]]</f>
        <v>7.4550393727863554E-2</v>
      </c>
      <c r="O192" s="31">
        <f>SUM(Table1[[#This Row],[Likes]:[Comments]])</f>
        <v>4336</v>
      </c>
    </row>
    <row r="193" spans="1:15" ht="15.75" customHeight="1">
      <c r="A193" s="31" t="s">
        <v>213</v>
      </c>
      <c r="B193" s="31" t="s">
        <v>14</v>
      </c>
      <c r="C193" s="32">
        <v>45640</v>
      </c>
      <c r="D193" s="31" t="s">
        <v>24</v>
      </c>
      <c r="E193" s="31" t="s">
        <v>45</v>
      </c>
      <c r="F193" s="31">
        <v>3812</v>
      </c>
      <c r="G193" s="31">
        <v>321</v>
      </c>
      <c r="H193" s="31">
        <v>289</v>
      </c>
      <c r="I193" s="31">
        <v>59838</v>
      </c>
      <c r="J193" s="31">
        <v>36337</v>
      </c>
      <c r="K193" s="31">
        <v>161</v>
      </c>
      <c r="L193" s="31" t="s">
        <v>38</v>
      </c>
      <c r="M193" s="31"/>
      <c r="N193" s="33">
        <f>(Table1[[#This Row],[Likes]]+Table1[[#This Row],[Shares]]+Table1[[#This Row],[Comments]])/Table1[[#This Row],[Impressions]]</f>
        <v>7.3899528727564417E-2</v>
      </c>
      <c r="O193" s="31">
        <f>SUM(Table1[[#This Row],[Likes]:[Comments]])</f>
        <v>4422</v>
      </c>
    </row>
    <row r="194" spans="1:15" ht="15.75" customHeight="1">
      <c r="A194" s="31" t="s">
        <v>303</v>
      </c>
      <c r="B194" s="31" t="s">
        <v>29</v>
      </c>
      <c r="C194" s="32">
        <v>45368</v>
      </c>
      <c r="D194" s="31" t="s">
        <v>53</v>
      </c>
      <c r="E194" s="31" t="s">
        <v>19</v>
      </c>
      <c r="F194" s="31">
        <v>2692</v>
      </c>
      <c r="G194" s="31">
        <v>446</v>
      </c>
      <c r="H194" s="31">
        <v>216</v>
      </c>
      <c r="I194" s="31">
        <v>45818</v>
      </c>
      <c r="J194" s="31">
        <v>62723</v>
      </c>
      <c r="K194" s="31">
        <v>85</v>
      </c>
      <c r="L194" s="31" t="s">
        <v>20</v>
      </c>
      <c r="M194" s="31" t="s">
        <v>41</v>
      </c>
      <c r="N194" s="33">
        <f>(Table1[[#This Row],[Likes]]+Table1[[#This Row],[Shares]]+Table1[[#This Row],[Comments]])/Table1[[#This Row],[Impressions]]</f>
        <v>7.3202671439172376E-2</v>
      </c>
      <c r="O194" s="31">
        <f>SUM(Table1[[#This Row],[Likes]:[Comments]])</f>
        <v>3354</v>
      </c>
    </row>
    <row r="195" spans="1:15" ht="15.75" customHeight="1">
      <c r="A195" s="31" t="s">
        <v>115</v>
      </c>
      <c r="B195" s="31" t="s">
        <v>14</v>
      </c>
      <c r="C195" s="32">
        <v>45825</v>
      </c>
      <c r="D195" s="31" t="s">
        <v>15</v>
      </c>
      <c r="E195" s="31" t="s">
        <v>30</v>
      </c>
      <c r="F195" s="31">
        <v>2284</v>
      </c>
      <c r="G195" s="31">
        <v>187</v>
      </c>
      <c r="H195" s="31">
        <v>260</v>
      </c>
      <c r="I195" s="31">
        <v>37400</v>
      </c>
      <c r="J195" s="31">
        <v>65014</v>
      </c>
      <c r="K195" s="31">
        <v>157</v>
      </c>
      <c r="L195" s="31" t="s">
        <v>41</v>
      </c>
      <c r="M195" s="31" t="s">
        <v>38</v>
      </c>
      <c r="N195" s="33">
        <f>(Table1[[#This Row],[Likes]]+Table1[[#This Row],[Shares]]+Table1[[#This Row],[Comments]])/Table1[[#This Row],[Impressions]]</f>
        <v>7.3021390374331557E-2</v>
      </c>
      <c r="O195" s="31">
        <f>SUM(Table1[[#This Row],[Likes]:[Comments]])</f>
        <v>2731</v>
      </c>
    </row>
    <row r="196" spans="1:15" ht="15.75" customHeight="1">
      <c r="A196" s="31" t="s">
        <v>217</v>
      </c>
      <c r="B196" s="31" t="s">
        <v>14</v>
      </c>
      <c r="C196" s="32">
        <v>45370</v>
      </c>
      <c r="D196" s="31" t="s">
        <v>15</v>
      </c>
      <c r="E196" s="31" t="s">
        <v>45</v>
      </c>
      <c r="F196" s="31">
        <v>2878</v>
      </c>
      <c r="G196" s="31">
        <v>278</v>
      </c>
      <c r="H196" s="31">
        <v>255</v>
      </c>
      <c r="I196" s="31">
        <v>47235</v>
      </c>
      <c r="J196" s="31">
        <v>57922</v>
      </c>
      <c r="K196" s="31">
        <v>112</v>
      </c>
      <c r="L196" s="31" t="s">
        <v>41</v>
      </c>
      <c r="M196" s="31" t="s">
        <v>38</v>
      </c>
      <c r="N196" s="33">
        <f>(Table1[[#This Row],[Likes]]+Table1[[#This Row],[Shares]]+Table1[[#This Row],[Comments]])/Table1[[#This Row],[Impressions]]</f>
        <v>7.2213401079707848E-2</v>
      </c>
      <c r="O196" s="31">
        <f>SUM(Table1[[#This Row],[Likes]:[Comments]])</f>
        <v>3411</v>
      </c>
    </row>
    <row r="197" spans="1:15" ht="15.75" customHeight="1">
      <c r="A197" s="31" t="s">
        <v>182</v>
      </c>
      <c r="B197" s="31" t="s">
        <v>23</v>
      </c>
      <c r="C197" s="32">
        <v>45312</v>
      </c>
      <c r="D197" s="31" t="s">
        <v>24</v>
      </c>
      <c r="E197" s="31" t="s">
        <v>16</v>
      </c>
      <c r="F197" s="31">
        <v>2383</v>
      </c>
      <c r="G197" s="31">
        <v>136</v>
      </c>
      <c r="H197" s="31">
        <v>302</v>
      </c>
      <c r="I197" s="31">
        <v>39187</v>
      </c>
      <c r="J197" s="31">
        <v>22133</v>
      </c>
      <c r="K197" s="31">
        <v>208</v>
      </c>
      <c r="L197" s="31" t="s">
        <v>368</v>
      </c>
      <c r="M197" s="31" t="s">
        <v>38</v>
      </c>
      <c r="N197" s="33">
        <f>(Table1[[#This Row],[Likes]]+Table1[[#This Row],[Shares]]+Table1[[#This Row],[Comments]])/Table1[[#This Row],[Impressions]]</f>
        <v>7.1988159338556151E-2</v>
      </c>
      <c r="O197" s="31">
        <f>SUM(Table1[[#This Row],[Likes]:[Comments]])</f>
        <v>2821</v>
      </c>
    </row>
    <row r="198" spans="1:15" ht="15.75" customHeight="1">
      <c r="A198" s="31" t="s">
        <v>282</v>
      </c>
      <c r="B198" s="31" t="s">
        <v>23</v>
      </c>
      <c r="C198" s="32">
        <v>45551</v>
      </c>
      <c r="D198" s="31" t="s">
        <v>24</v>
      </c>
      <c r="E198" s="31" t="s">
        <v>47</v>
      </c>
      <c r="F198" s="31">
        <v>3300</v>
      </c>
      <c r="G198" s="31">
        <v>354</v>
      </c>
      <c r="H198" s="31">
        <v>397</v>
      </c>
      <c r="I198" s="31">
        <v>56773</v>
      </c>
      <c r="J198" s="31">
        <v>72110</v>
      </c>
      <c r="K198" s="31">
        <v>163</v>
      </c>
      <c r="L198" s="31" t="s">
        <v>20</v>
      </c>
      <c r="M198" s="31" t="s">
        <v>368</v>
      </c>
      <c r="N198" s="33">
        <f>(Table1[[#This Row],[Likes]]+Table1[[#This Row],[Shares]]+Table1[[#This Row],[Comments]])/Table1[[#This Row],[Impressions]]</f>
        <v>7.1354340971940891E-2</v>
      </c>
      <c r="O198" s="31">
        <f>SUM(Table1[[#This Row],[Likes]:[Comments]])</f>
        <v>4051</v>
      </c>
    </row>
    <row r="199" spans="1:15" ht="15.75" customHeight="1">
      <c r="A199" s="31" t="s">
        <v>242</v>
      </c>
      <c r="B199" s="31" t="s">
        <v>23</v>
      </c>
      <c r="C199" s="32">
        <v>45387</v>
      </c>
      <c r="D199" s="31" t="s">
        <v>24</v>
      </c>
      <c r="E199" s="31" t="s">
        <v>27</v>
      </c>
      <c r="F199" s="31">
        <v>2857</v>
      </c>
      <c r="G199" s="31">
        <v>443</v>
      </c>
      <c r="H199" s="31">
        <v>359</v>
      </c>
      <c r="I199" s="31">
        <v>51519</v>
      </c>
      <c r="J199" s="31">
        <v>28256</v>
      </c>
      <c r="K199" s="31">
        <v>155</v>
      </c>
      <c r="L199" s="31" t="s">
        <v>41</v>
      </c>
      <c r="M199" s="31" t="s">
        <v>38</v>
      </c>
      <c r="N199" s="33">
        <f>(Table1[[#This Row],[Likes]]+Table1[[#This Row],[Shares]]+Table1[[#This Row],[Comments]])/Table1[[#This Row],[Impressions]]</f>
        <v>7.1022341272152026E-2</v>
      </c>
      <c r="O199" s="31">
        <f>SUM(Table1[[#This Row],[Likes]:[Comments]])</f>
        <v>3659</v>
      </c>
    </row>
    <row r="200" spans="1:15" ht="15.75" customHeight="1">
      <c r="A200" s="31" t="s">
        <v>214</v>
      </c>
      <c r="B200" s="31" t="s">
        <v>23</v>
      </c>
      <c r="C200" s="32">
        <v>45615</v>
      </c>
      <c r="D200" s="31" t="s">
        <v>15</v>
      </c>
      <c r="E200" s="31" t="s">
        <v>19</v>
      </c>
      <c r="F200" s="31">
        <v>2387</v>
      </c>
      <c r="G200" s="31">
        <v>353</v>
      </c>
      <c r="H200" s="31">
        <v>78</v>
      </c>
      <c r="I200" s="31">
        <v>39745</v>
      </c>
      <c r="J200" s="31">
        <v>69226</v>
      </c>
      <c r="K200" s="31">
        <v>208</v>
      </c>
      <c r="L200" s="31" t="s">
        <v>41</v>
      </c>
      <c r="M200" s="31"/>
      <c r="N200" s="33">
        <f>(Table1[[#This Row],[Likes]]+Table1[[#This Row],[Shares]]+Table1[[#This Row],[Comments]])/Table1[[#This Row],[Impressions]]</f>
        <v>7.090200025160398E-2</v>
      </c>
      <c r="O200" s="31">
        <f>SUM(Table1[[#This Row],[Likes]:[Comments]])</f>
        <v>2818</v>
      </c>
    </row>
    <row r="201" spans="1:15" ht="15.75" customHeight="1">
      <c r="A201" s="31" t="s">
        <v>161</v>
      </c>
      <c r="B201" s="31" t="s">
        <v>23</v>
      </c>
      <c r="C201" s="32">
        <v>45295</v>
      </c>
      <c r="D201" s="31" t="s">
        <v>24</v>
      </c>
      <c r="E201" s="31" t="s">
        <v>32</v>
      </c>
      <c r="F201" s="31">
        <v>3208</v>
      </c>
      <c r="G201" s="31">
        <v>476</v>
      </c>
      <c r="H201" s="31">
        <v>277</v>
      </c>
      <c r="I201" s="31">
        <v>56072</v>
      </c>
      <c r="J201" s="31">
        <v>21061</v>
      </c>
      <c r="K201" s="31">
        <v>113</v>
      </c>
      <c r="L201" s="31" t="s">
        <v>368</v>
      </c>
      <c r="M201" s="31" t="s">
        <v>38</v>
      </c>
      <c r="N201" s="33">
        <f>(Table1[[#This Row],[Likes]]+Table1[[#This Row],[Shares]]+Table1[[#This Row],[Comments]])/Table1[[#This Row],[Impressions]]</f>
        <v>7.064131830503638E-2</v>
      </c>
      <c r="O201" s="31">
        <f>SUM(Table1[[#This Row],[Likes]:[Comments]])</f>
        <v>3961</v>
      </c>
    </row>
    <row r="202" spans="1:15" ht="15.75" customHeight="1">
      <c r="A202" s="31" t="s">
        <v>176</v>
      </c>
      <c r="B202" s="31" t="s">
        <v>29</v>
      </c>
      <c r="C202" s="32">
        <v>45566</v>
      </c>
      <c r="D202" s="31" t="s">
        <v>53</v>
      </c>
      <c r="E202" s="31" t="s">
        <v>19</v>
      </c>
      <c r="F202" s="31">
        <v>3543</v>
      </c>
      <c r="G202" s="31">
        <v>334</v>
      </c>
      <c r="H202" s="31">
        <v>218</v>
      </c>
      <c r="I202" s="31">
        <v>58007</v>
      </c>
      <c r="J202" s="31">
        <v>24792</v>
      </c>
      <c r="K202" s="31">
        <v>273</v>
      </c>
      <c r="L202" s="31" t="s">
        <v>20</v>
      </c>
      <c r="M202" s="31" t="s">
        <v>41</v>
      </c>
      <c r="N202" s="33">
        <f>(Table1[[#This Row],[Likes]]+Table1[[#This Row],[Shares]]+Table1[[#This Row],[Comments]])/Table1[[#This Row],[Impressions]]</f>
        <v>7.0594928198320889E-2</v>
      </c>
      <c r="O202" s="31">
        <f>SUM(Table1[[#This Row],[Likes]:[Comments]])</f>
        <v>4095</v>
      </c>
    </row>
    <row r="203" spans="1:15" ht="15.75" customHeight="1">
      <c r="A203" s="31" t="s">
        <v>22</v>
      </c>
      <c r="B203" s="31" t="s">
        <v>23</v>
      </c>
      <c r="C203" s="32">
        <v>45629</v>
      </c>
      <c r="D203" s="31" t="s">
        <v>24</v>
      </c>
      <c r="E203" s="31" t="s">
        <v>25</v>
      </c>
      <c r="F203" s="31">
        <v>3092</v>
      </c>
      <c r="G203" s="31">
        <v>177</v>
      </c>
      <c r="H203" s="31">
        <v>81</v>
      </c>
      <c r="I203" s="31">
        <v>47533</v>
      </c>
      <c r="J203" s="31">
        <v>29220</v>
      </c>
      <c r="K203" s="31">
        <v>121</v>
      </c>
      <c r="L203" s="31" t="s">
        <v>368</v>
      </c>
      <c r="M203" s="31" t="s">
        <v>38</v>
      </c>
      <c r="N203" s="33">
        <f>(Table1[[#This Row],[Likes]]+Table1[[#This Row],[Shares]]+Table1[[#This Row],[Comments]])/Table1[[#This Row],[Impressions]]</f>
        <v>7.0477352576105018E-2</v>
      </c>
      <c r="O203" s="31">
        <f>SUM(Table1[[#This Row],[Likes]:[Comments]])</f>
        <v>3350</v>
      </c>
    </row>
    <row r="204" spans="1:15" ht="15.75" customHeight="1">
      <c r="A204" s="31" t="s">
        <v>64</v>
      </c>
      <c r="B204" s="31" t="s">
        <v>23</v>
      </c>
      <c r="C204" s="32">
        <v>45734</v>
      </c>
      <c r="D204" s="31" t="s">
        <v>24</v>
      </c>
      <c r="E204" s="31" t="s">
        <v>19</v>
      </c>
      <c r="F204" s="31">
        <v>3418</v>
      </c>
      <c r="G204" s="31">
        <v>188</v>
      </c>
      <c r="H204" s="31">
        <v>387</v>
      </c>
      <c r="I204" s="31">
        <v>57431</v>
      </c>
      <c r="J204" s="31">
        <v>36933</v>
      </c>
      <c r="K204" s="31">
        <v>202</v>
      </c>
      <c r="L204" s="31" t="s">
        <v>368</v>
      </c>
      <c r="M204" s="31" t="s">
        <v>38</v>
      </c>
      <c r="N204" s="33">
        <f>(Table1[[#This Row],[Likes]]+Table1[[#This Row],[Shares]]+Table1[[#This Row],[Comments]])/Table1[[#This Row],[Impressions]]</f>
        <v>6.9526910553533799E-2</v>
      </c>
      <c r="O204" s="31">
        <f>SUM(Table1[[#This Row],[Likes]:[Comments]])</f>
        <v>3993</v>
      </c>
    </row>
    <row r="205" spans="1:15" ht="15.75" customHeight="1">
      <c r="A205" s="31" t="s">
        <v>186</v>
      </c>
      <c r="B205" s="31" t="s">
        <v>14</v>
      </c>
      <c r="C205" s="32">
        <v>45516</v>
      </c>
      <c r="D205" s="31" t="s">
        <v>24</v>
      </c>
      <c r="E205" s="31" t="s">
        <v>16</v>
      </c>
      <c r="F205" s="31">
        <v>2962</v>
      </c>
      <c r="G205" s="31">
        <v>400</v>
      </c>
      <c r="H205" s="31">
        <v>280</v>
      </c>
      <c r="I205" s="31">
        <v>52508</v>
      </c>
      <c r="J205" s="31">
        <v>58329</v>
      </c>
      <c r="K205" s="31">
        <v>219</v>
      </c>
      <c r="L205" s="31" t="s">
        <v>38</v>
      </c>
      <c r="M205" s="31"/>
      <c r="N205" s="33">
        <f>(Table1[[#This Row],[Likes]]+Table1[[#This Row],[Shares]]+Table1[[#This Row],[Comments]])/Table1[[#This Row],[Impressions]]</f>
        <v>6.9360859297630834E-2</v>
      </c>
      <c r="O205" s="31">
        <f>SUM(Table1[[#This Row],[Likes]:[Comments]])</f>
        <v>3642</v>
      </c>
    </row>
    <row r="206" spans="1:15" ht="15.75" customHeight="1">
      <c r="A206" s="31" t="s">
        <v>134</v>
      </c>
      <c r="B206" s="31" t="s">
        <v>23</v>
      </c>
      <c r="C206" s="32">
        <v>45580</v>
      </c>
      <c r="D206" s="31" t="s">
        <v>15</v>
      </c>
      <c r="E206" s="31" t="s">
        <v>27</v>
      </c>
      <c r="F206" s="31">
        <v>1984</v>
      </c>
      <c r="G206" s="31">
        <v>481</v>
      </c>
      <c r="H206" s="31">
        <v>356</v>
      </c>
      <c r="I206" s="31">
        <v>40681</v>
      </c>
      <c r="J206" s="31">
        <v>63111</v>
      </c>
      <c r="K206" s="31">
        <v>258</v>
      </c>
      <c r="L206" s="31" t="s">
        <v>38</v>
      </c>
      <c r="M206" s="31"/>
      <c r="N206" s="33">
        <f>(Table1[[#This Row],[Likes]]+Table1[[#This Row],[Shares]]+Table1[[#This Row],[Comments]])/Table1[[#This Row],[Impressions]]</f>
        <v>6.934441139598338E-2</v>
      </c>
      <c r="O206" s="31">
        <f>SUM(Table1[[#This Row],[Likes]:[Comments]])</f>
        <v>2821</v>
      </c>
    </row>
    <row r="207" spans="1:15" ht="15.75" customHeight="1">
      <c r="A207" s="31" t="s">
        <v>296</v>
      </c>
      <c r="B207" s="31" t="s">
        <v>23</v>
      </c>
      <c r="C207" s="32">
        <v>45612</v>
      </c>
      <c r="D207" s="31" t="s">
        <v>15</v>
      </c>
      <c r="E207" s="31" t="s">
        <v>45</v>
      </c>
      <c r="F207" s="31">
        <v>2972</v>
      </c>
      <c r="G207" s="31">
        <v>263</v>
      </c>
      <c r="H207" s="31">
        <v>308</v>
      </c>
      <c r="I207" s="31">
        <v>51740</v>
      </c>
      <c r="J207" s="31">
        <v>28214</v>
      </c>
      <c r="K207" s="31">
        <v>190</v>
      </c>
      <c r="L207" s="31" t="s">
        <v>41</v>
      </c>
      <c r="M207" s="31"/>
      <c r="N207" s="33">
        <f>(Table1[[#This Row],[Likes]]+Table1[[#This Row],[Shares]]+Table1[[#This Row],[Comments]])/Table1[[#This Row],[Impressions]]</f>
        <v>6.8477000386548123E-2</v>
      </c>
      <c r="O207" s="31">
        <f>SUM(Table1[[#This Row],[Likes]:[Comments]])</f>
        <v>3543</v>
      </c>
    </row>
    <row r="208" spans="1:15" ht="15.75" customHeight="1">
      <c r="A208" s="31" t="s">
        <v>266</v>
      </c>
      <c r="B208" s="31" t="s">
        <v>14</v>
      </c>
      <c r="C208" s="32">
        <v>45379</v>
      </c>
      <c r="D208" s="31" t="s">
        <v>15</v>
      </c>
      <c r="E208" s="31" t="s">
        <v>32</v>
      </c>
      <c r="F208" s="31">
        <v>1673</v>
      </c>
      <c r="G208" s="31">
        <v>280</v>
      </c>
      <c r="H208" s="31">
        <v>67</v>
      </c>
      <c r="I208" s="31">
        <v>29847</v>
      </c>
      <c r="J208" s="31">
        <v>48016</v>
      </c>
      <c r="K208" s="31">
        <v>213</v>
      </c>
      <c r="L208" s="31" t="s">
        <v>41</v>
      </c>
      <c r="M208" s="31" t="s">
        <v>38</v>
      </c>
      <c r="N208" s="33">
        <f>(Table1[[#This Row],[Likes]]+Table1[[#This Row],[Shares]]+Table1[[#This Row],[Comments]])/Table1[[#This Row],[Impressions]]</f>
        <v>6.76784936509532E-2</v>
      </c>
      <c r="O208" s="31">
        <f>SUM(Table1[[#This Row],[Likes]:[Comments]])</f>
        <v>2020</v>
      </c>
    </row>
    <row r="209" spans="1:15" ht="15.75" customHeight="1">
      <c r="A209" s="31" t="s">
        <v>138</v>
      </c>
      <c r="B209" s="31" t="s">
        <v>14</v>
      </c>
      <c r="C209" s="32">
        <v>45336</v>
      </c>
      <c r="D209" s="31" t="s">
        <v>15</v>
      </c>
      <c r="E209" s="31" t="s">
        <v>30</v>
      </c>
      <c r="F209" s="31">
        <v>1830</v>
      </c>
      <c r="G209" s="31">
        <v>112</v>
      </c>
      <c r="H209" s="31">
        <v>181</v>
      </c>
      <c r="I209" s="31">
        <v>31870</v>
      </c>
      <c r="J209" s="31">
        <v>55742</v>
      </c>
      <c r="K209" s="31">
        <v>263</v>
      </c>
      <c r="L209" s="31" t="s">
        <v>41</v>
      </c>
      <c r="M209" s="31" t="s">
        <v>38</v>
      </c>
      <c r="N209" s="33">
        <f>(Table1[[#This Row],[Likes]]+Table1[[#This Row],[Shares]]+Table1[[#This Row],[Comments]])/Table1[[#This Row],[Impressions]]</f>
        <v>6.6614370881706936E-2</v>
      </c>
      <c r="O209" s="31">
        <f>SUM(Table1[[#This Row],[Likes]:[Comments]])</f>
        <v>2123</v>
      </c>
    </row>
    <row r="210" spans="1:15" ht="15.75" customHeight="1">
      <c r="A210" s="31" t="s">
        <v>313</v>
      </c>
      <c r="B210" s="31" t="s">
        <v>14</v>
      </c>
      <c r="C210" s="32">
        <v>45628</v>
      </c>
      <c r="D210" s="31" t="s">
        <v>15</v>
      </c>
      <c r="E210" s="31" t="s">
        <v>37</v>
      </c>
      <c r="F210" s="31">
        <v>3194</v>
      </c>
      <c r="G210" s="31">
        <v>292</v>
      </c>
      <c r="H210" s="31">
        <v>245</v>
      </c>
      <c r="I210" s="31">
        <v>56371</v>
      </c>
      <c r="J210" s="31">
        <v>65597</v>
      </c>
      <c r="K210" s="31">
        <v>163</v>
      </c>
      <c r="L210" s="31" t="s">
        <v>41</v>
      </c>
      <c r="M210" s="31" t="s">
        <v>38</v>
      </c>
      <c r="N210" s="33">
        <f>(Table1[[#This Row],[Likes]]+Table1[[#This Row],[Shares]]+Table1[[#This Row],[Comments]])/Table1[[#This Row],[Impressions]]</f>
        <v>6.6186514342481059E-2</v>
      </c>
      <c r="O210" s="31">
        <f>SUM(Table1[[#This Row],[Likes]:[Comments]])</f>
        <v>3731</v>
      </c>
    </row>
    <row r="211" spans="1:15" ht="15.75" customHeight="1">
      <c r="A211" s="31" t="s">
        <v>308</v>
      </c>
      <c r="B211" s="31" t="s">
        <v>23</v>
      </c>
      <c r="C211" s="32">
        <v>45334</v>
      </c>
      <c r="D211" s="31" t="s">
        <v>15</v>
      </c>
      <c r="E211" s="31" t="s">
        <v>19</v>
      </c>
      <c r="F211" s="31">
        <v>2691</v>
      </c>
      <c r="G211" s="31">
        <v>486</v>
      </c>
      <c r="H211" s="31">
        <v>206</v>
      </c>
      <c r="I211" s="31">
        <v>51133</v>
      </c>
      <c r="J211" s="31">
        <v>44583</v>
      </c>
      <c r="K211" s="31">
        <v>276</v>
      </c>
      <c r="L211" s="31" t="s">
        <v>38</v>
      </c>
      <c r="M211" s="31"/>
      <c r="N211" s="33">
        <f>(Table1[[#This Row],[Likes]]+Table1[[#This Row],[Shares]]+Table1[[#This Row],[Comments]])/Table1[[#This Row],[Impressions]]</f>
        <v>6.6160796354604659E-2</v>
      </c>
      <c r="O211" s="31">
        <f>SUM(Table1[[#This Row],[Likes]:[Comments]])</f>
        <v>3383</v>
      </c>
    </row>
    <row r="212" spans="1:15" ht="15.75" customHeight="1">
      <c r="A212" s="31" t="s">
        <v>228</v>
      </c>
      <c r="B212" s="31" t="s">
        <v>29</v>
      </c>
      <c r="C212" s="32">
        <v>45447</v>
      </c>
      <c r="D212" s="31" t="s">
        <v>53</v>
      </c>
      <c r="E212" s="31" t="s">
        <v>27</v>
      </c>
      <c r="F212" s="31">
        <v>1211</v>
      </c>
      <c r="G212" s="31">
        <v>431</v>
      </c>
      <c r="H212" s="31">
        <v>83</v>
      </c>
      <c r="I212" s="31">
        <v>26532</v>
      </c>
      <c r="J212" s="31">
        <v>47305</v>
      </c>
      <c r="K212" s="31">
        <v>232</v>
      </c>
      <c r="L212" s="31" t="s">
        <v>20</v>
      </c>
      <c r="M212" s="31" t="s">
        <v>41</v>
      </c>
      <c r="N212" s="33">
        <f>(Table1[[#This Row],[Likes]]+Table1[[#This Row],[Shares]]+Table1[[#This Row],[Comments]])/Table1[[#This Row],[Impressions]]</f>
        <v>6.5015829941203071E-2</v>
      </c>
      <c r="O212" s="31">
        <f>SUM(Table1[[#This Row],[Likes]:[Comments]])</f>
        <v>1725</v>
      </c>
    </row>
    <row r="213" spans="1:15" ht="15.75" customHeight="1">
      <c r="A213" s="31" t="s">
        <v>270</v>
      </c>
      <c r="B213" s="31" t="s">
        <v>29</v>
      </c>
      <c r="C213" s="32">
        <v>45542</v>
      </c>
      <c r="D213" s="31" t="s">
        <v>15</v>
      </c>
      <c r="E213" s="31" t="s">
        <v>47</v>
      </c>
      <c r="F213" s="31">
        <v>2101</v>
      </c>
      <c r="G213" s="31">
        <v>411</v>
      </c>
      <c r="H213" s="31">
        <v>190</v>
      </c>
      <c r="I213" s="31">
        <v>41791</v>
      </c>
      <c r="J213" s="31">
        <v>57090</v>
      </c>
      <c r="K213" s="31">
        <v>172</v>
      </c>
      <c r="L213" s="31" t="s">
        <v>20</v>
      </c>
      <c r="M213" s="31" t="s">
        <v>369</v>
      </c>
      <c r="N213" s="33">
        <f>(Table1[[#This Row],[Likes]]+Table1[[#This Row],[Shares]]+Table1[[#This Row],[Comments]])/Table1[[#This Row],[Impressions]]</f>
        <v>6.4655069273288512E-2</v>
      </c>
      <c r="O213" s="31">
        <f>SUM(Table1[[#This Row],[Likes]:[Comments]])</f>
        <v>2702</v>
      </c>
    </row>
    <row r="214" spans="1:15" ht="15.75" customHeight="1">
      <c r="A214" s="31" t="s">
        <v>52</v>
      </c>
      <c r="B214" s="31" t="s">
        <v>29</v>
      </c>
      <c r="C214" s="32">
        <v>45458</v>
      </c>
      <c r="D214" s="31" t="s">
        <v>53</v>
      </c>
      <c r="E214" s="31" t="s">
        <v>34</v>
      </c>
      <c r="F214" s="31">
        <v>1751</v>
      </c>
      <c r="G214" s="31">
        <v>143</v>
      </c>
      <c r="H214" s="31">
        <v>151</v>
      </c>
      <c r="I214" s="31">
        <v>31826</v>
      </c>
      <c r="J214" s="31">
        <v>47729</v>
      </c>
      <c r="K214" s="31">
        <v>95</v>
      </c>
      <c r="L214" s="31" t="s">
        <v>20</v>
      </c>
      <c r="M214" s="31" t="s">
        <v>41</v>
      </c>
      <c r="N214" s="33">
        <f>(Table1[[#This Row],[Likes]]+Table1[[#This Row],[Shares]]+Table1[[#This Row],[Comments]])/Table1[[#This Row],[Impressions]]</f>
        <v>6.4255640042732362E-2</v>
      </c>
      <c r="O214" s="31">
        <f>SUM(Table1[[#This Row],[Likes]:[Comments]])</f>
        <v>2045</v>
      </c>
    </row>
    <row r="215" spans="1:15" ht="15.75" customHeight="1">
      <c r="A215" s="31" t="s">
        <v>128</v>
      </c>
      <c r="B215" s="31" t="s">
        <v>14</v>
      </c>
      <c r="C215" s="32">
        <v>45351</v>
      </c>
      <c r="D215" s="31" t="s">
        <v>15</v>
      </c>
      <c r="E215" s="31" t="s">
        <v>45</v>
      </c>
      <c r="F215" s="31">
        <v>1100</v>
      </c>
      <c r="G215" s="31">
        <v>229</v>
      </c>
      <c r="H215" s="31">
        <v>312</v>
      </c>
      <c r="I215" s="31">
        <v>25641</v>
      </c>
      <c r="J215" s="31">
        <v>34601</v>
      </c>
      <c r="K215" s="31">
        <v>169</v>
      </c>
      <c r="L215" s="31" t="s">
        <v>20</v>
      </c>
      <c r="M215" s="31"/>
      <c r="N215" s="33">
        <f>(Table1[[#This Row],[Likes]]+Table1[[#This Row],[Shares]]+Table1[[#This Row],[Comments]])/Table1[[#This Row],[Impressions]]</f>
        <v>6.3999063999063993E-2</v>
      </c>
      <c r="O215" s="31">
        <f>SUM(Table1[[#This Row],[Likes]:[Comments]])</f>
        <v>1641</v>
      </c>
    </row>
    <row r="216" spans="1:15" ht="15.75" customHeight="1">
      <c r="A216" s="31" t="s">
        <v>71</v>
      </c>
      <c r="B216" s="31" t="s">
        <v>14</v>
      </c>
      <c r="C216" s="32">
        <v>45416</v>
      </c>
      <c r="D216" s="31" t="s">
        <v>15</v>
      </c>
      <c r="E216" s="31" t="s">
        <v>27</v>
      </c>
      <c r="F216" s="31">
        <v>2274</v>
      </c>
      <c r="G216" s="31">
        <v>243</v>
      </c>
      <c r="H216" s="31">
        <v>222</v>
      </c>
      <c r="I216" s="31">
        <v>43066</v>
      </c>
      <c r="J216" s="31">
        <v>59174</v>
      </c>
      <c r="K216" s="31">
        <v>80</v>
      </c>
      <c r="L216" s="31" t="s">
        <v>20</v>
      </c>
      <c r="M216" s="31"/>
      <c r="N216" s="33">
        <f>(Table1[[#This Row],[Likes]]+Table1[[#This Row],[Shares]]+Table1[[#This Row],[Comments]])/Table1[[#This Row],[Impressions]]</f>
        <v>6.3600055728416843E-2</v>
      </c>
      <c r="O216" s="31">
        <f>SUM(Table1[[#This Row],[Likes]:[Comments]])</f>
        <v>2739</v>
      </c>
    </row>
    <row r="217" spans="1:15" ht="15.75" customHeight="1">
      <c r="A217" s="31" t="s">
        <v>236</v>
      </c>
      <c r="B217" s="31" t="s">
        <v>23</v>
      </c>
      <c r="C217" s="32">
        <v>45547</v>
      </c>
      <c r="D217" s="31" t="s">
        <v>24</v>
      </c>
      <c r="E217" s="31" t="s">
        <v>27</v>
      </c>
      <c r="F217" s="31">
        <v>1839</v>
      </c>
      <c r="G217" s="31">
        <v>223</v>
      </c>
      <c r="H217" s="31">
        <v>171</v>
      </c>
      <c r="I217" s="31">
        <v>35459</v>
      </c>
      <c r="J217" s="31">
        <v>69988</v>
      </c>
      <c r="K217" s="31">
        <v>114</v>
      </c>
      <c r="L217" s="31" t="s">
        <v>368</v>
      </c>
      <c r="M217" s="31" t="s">
        <v>38</v>
      </c>
      <c r="N217" s="33">
        <f>(Table1[[#This Row],[Likes]]+Table1[[#This Row],[Shares]]+Table1[[#This Row],[Comments]])/Table1[[#This Row],[Impressions]]</f>
        <v>6.2974139146620034E-2</v>
      </c>
      <c r="O217" s="31">
        <f>SUM(Table1[[#This Row],[Likes]:[Comments]])</f>
        <v>2233</v>
      </c>
    </row>
    <row r="218" spans="1:15" ht="15.75" customHeight="1">
      <c r="A218" s="31" t="s">
        <v>219</v>
      </c>
      <c r="B218" s="31" t="s">
        <v>23</v>
      </c>
      <c r="C218" s="32">
        <v>45486</v>
      </c>
      <c r="D218" s="31" t="s">
        <v>24</v>
      </c>
      <c r="E218" s="31" t="s">
        <v>34</v>
      </c>
      <c r="F218" s="31">
        <v>2408</v>
      </c>
      <c r="G218" s="31">
        <v>323</v>
      </c>
      <c r="H218" s="31">
        <v>251</v>
      </c>
      <c r="I218" s="31">
        <v>47599</v>
      </c>
      <c r="J218" s="31">
        <v>35543</v>
      </c>
      <c r="K218" s="31">
        <v>287</v>
      </c>
      <c r="L218" s="31" t="s">
        <v>368</v>
      </c>
      <c r="M218" s="31" t="s">
        <v>38</v>
      </c>
      <c r="N218" s="33">
        <f>(Table1[[#This Row],[Likes]]+Table1[[#This Row],[Shares]]+Table1[[#This Row],[Comments]])/Table1[[#This Row],[Impressions]]</f>
        <v>6.2648374965860634E-2</v>
      </c>
      <c r="O218" s="31">
        <f>SUM(Table1[[#This Row],[Likes]:[Comments]])</f>
        <v>2982</v>
      </c>
    </row>
    <row r="219" spans="1:15" ht="15.75" customHeight="1">
      <c r="A219" s="31" t="s">
        <v>140</v>
      </c>
      <c r="B219" s="31" t="s">
        <v>23</v>
      </c>
      <c r="C219" s="32">
        <v>45553</v>
      </c>
      <c r="D219" s="31" t="s">
        <v>15</v>
      </c>
      <c r="E219" s="31" t="s">
        <v>16</v>
      </c>
      <c r="F219" s="31">
        <v>2878</v>
      </c>
      <c r="G219" s="31">
        <v>265</v>
      </c>
      <c r="H219" s="31">
        <v>91</v>
      </c>
      <c r="I219" s="31">
        <v>52090</v>
      </c>
      <c r="J219" s="31">
        <v>28924</v>
      </c>
      <c r="K219" s="31">
        <v>133</v>
      </c>
      <c r="L219" s="31" t="s">
        <v>38</v>
      </c>
      <c r="M219" s="31"/>
      <c r="N219" s="33">
        <f>(Table1[[#This Row],[Likes]]+Table1[[#This Row],[Shares]]+Table1[[#This Row],[Comments]])/Table1[[#This Row],[Impressions]]</f>
        <v>6.2084853138798232E-2</v>
      </c>
      <c r="O219" s="31">
        <f>SUM(Table1[[#This Row],[Likes]:[Comments]])</f>
        <v>3234</v>
      </c>
    </row>
    <row r="220" spans="1:15" ht="15.75" customHeight="1">
      <c r="A220" s="31" t="s">
        <v>302</v>
      </c>
      <c r="B220" s="31" t="s">
        <v>29</v>
      </c>
      <c r="C220" s="32">
        <v>45604</v>
      </c>
      <c r="D220" s="31" t="s">
        <v>15</v>
      </c>
      <c r="E220" s="31" t="s">
        <v>37</v>
      </c>
      <c r="F220" s="31">
        <v>2471</v>
      </c>
      <c r="G220" s="31">
        <v>166</v>
      </c>
      <c r="H220" s="31">
        <v>320</v>
      </c>
      <c r="I220" s="31">
        <v>48254</v>
      </c>
      <c r="J220" s="31">
        <v>46900</v>
      </c>
      <c r="K220" s="31">
        <v>111</v>
      </c>
      <c r="L220" s="31" t="s">
        <v>20</v>
      </c>
      <c r="M220" s="31" t="s">
        <v>369</v>
      </c>
      <c r="N220" s="33">
        <f>(Table1[[#This Row],[Likes]]+Table1[[#This Row],[Shares]]+Table1[[#This Row],[Comments]])/Table1[[#This Row],[Impressions]]</f>
        <v>6.1279893894806647E-2</v>
      </c>
      <c r="O220" s="31">
        <f>SUM(Table1[[#This Row],[Likes]:[Comments]])</f>
        <v>2957</v>
      </c>
    </row>
    <row r="221" spans="1:15" ht="15.75" customHeight="1">
      <c r="A221" s="31" t="s">
        <v>122</v>
      </c>
      <c r="B221" s="31" t="s">
        <v>23</v>
      </c>
      <c r="C221" s="32">
        <v>45405</v>
      </c>
      <c r="D221" s="31" t="s">
        <v>24</v>
      </c>
      <c r="E221" s="31" t="s">
        <v>16</v>
      </c>
      <c r="F221" s="31">
        <v>2683</v>
      </c>
      <c r="G221" s="31">
        <v>496</v>
      </c>
      <c r="H221" s="31">
        <v>89</v>
      </c>
      <c r="I221" s="31">
        <v>53435</v>
      </c>
      <c r="J221" s="31">
        <v>30334</v>
      </c>
      <c r="K221" s="31">
        <v>160</v>
      </c>
      <c r="L221" s="31" t="s">
        <v>41</v>
      </c>
      <c r="M221" s="31" t="s">
        <v>38</v>
      </c>
      <c r="N221" s="33">
        <f>(Table1[[#This Row],[Likes]]+Table1[[#This Row],[Shares]]+Table1[[#This Row],[Comments]])/Table1[[#This Row],[Impressions]]</f>
        <v>6.1158416768035934E-2</v>
      </c>
      <c r="O221" s="31">
        <f>SUM(Table1[[#This Row],[Likes]:[Comments]])</f>
        <v>3268</v>
      </c>
    </row>
    <row r="222" spans="1:15" ht="15.75" customHeight="1">
      <c r="A222" s="31" t="s">
        <v>333</v>
      </c>
      <c r="B222" s="31" t="s">
        <v>23</v>
      </c>
      <c r="C222" s="32">
        <v>45838</v>
      </c>
      <c r="D222" s="31" t="s">
        <v>15</v>
      </c>
      <c r="E222" s="31" t="s">
        <v>32</v>
      </c>
      <c r="F222" s="31">
        <v>2275</v>
      </c>
      <c r="G222" s="31">
        <v>285</v>
      </c>
      <c r="H222" s="31">
        <v>125</v>
      </c>
      <c r="I222" s="31">
        <v>43970</v>
      </c>
      <c r="J222" s="31">
        <v>74761</v>
      </c>
      <c r="K222" s="31">
        <v>83</v>
      </c>
      <c r="L222" s="31" t="s">
        <v>38</v>
      </c>
      <c r="M222" s="31"/>
      <c r="N222" s="33">
        <f>(Table1[[#This Row],[Likes]]+Table1[[#This Row],[Shares]]+Table1[[#This Row],[Comments]])/Table1[[#This Row],[Impressions]]</f>
        <v>6.1064362065044349E-2</v>
      </c>
      <c r="O222" s="31">
        <f>SUM(Table1[[#This Row],[Likes]:[Comments]])</f>
        <v>2685</v>
      </c>
    </row>
    <row r="223" spans="1:15" ht="15.75" customHeight="1">
      <c r="A223" s="31" t="s">
        <v>179</v>
      </c>
      <c r="B223" s="31" t="s">
        <v>14</v>
      </c>
      <c r="C223" s="32">
        <v>45702</v>
      </c>
      <c r="D223" s="31" t="s">
        <v>15</v>
      </c>
      <c r="E223" s="31" t="s">
        <v>16</v>
      </c>
      <c r="F223" s="31">
        <v>2329</v>
      </c>
      <c r="G223" s="31">
        <v>373</v>
      </c>
      <c r="H223" s="31">
        <v>291</v>
      </c>
      <c r="I223" s="31">
        <v>49577</v>
      </c>
      <c r="J223" s="31">
        <v>28002</v>
      </c>
      <c r="K223" s="31">
        <v>82</v>
      </c>
      <c r="L223" s="31" t="s">
        <v>41</v>
      </c>
      <c r="M223" s="31" t="s">
        <v>38</v>
      </c>
      <c r="N223" s="33">
        <f>(Table1[[#This Row],[Likes]]+Table1[[#This Row],[Shares]]+Table1[[#This Row],[Comments]])/Table1[[#This Row],[Impressions]]</f>
        <v>6.0370736430199488E-2</v>
      </c>
      <c r="O223" s="31">
        <f>SUM(Table1[[#This Row],[Likes]:[Comments]])</f>
        <v>2993</v>
      </c>
    </row>
    <row r="224" spans="1:15" ht="15.75" customHeight="1">
      <c r="A224" s="31" t="s">
        <v>120</v>
      </c>
      <c r="B224" s="31" t="s">
        <v>14</v>
      </c>
      <c r="C224" s="32">
        <v>45522</v>
      </c>
      <c r="D224" s="31" t="s">
        <v>15</v>
      </c>
      <c r="E224" s="31" t="s">
        <v>19</v>
      </c>
      <c r="F224" s="31">
        <v>2965</v>
      </c>
      <c r="G224" s="31">
        <v>328</v>
      </c>
      <c r="H224" s="31">
        <v>171</v>
      </c>
      <c r="I224" s="31">
        <v>57685</v>
      </c>
      <c r="J224" s="31">
        <v>67536</v>
      </c>
      <c r="K224" s="31">
        <v>264</v>
      </c>
      <c r="L224" s="31" t="s">
        <v>41</v>
      </c>
      <c r="M224" s="31" t="s">
        <v>38</v>
      </c>
      <c r="N224" s="33">
        <f>(Table1[[#This Row],[Likes]]+Table1[[#This Row],[Shares]]+Table1[[#This Row],[Comments]])/Table1[[#This Row],[Impressions]]</f>
        <v>6.0050273034584378E-2</v>
      </c>
      <c r="O224" s="31">
        <f>SUM(Table1[[#This Row],[Likes]:[Comments]])</f>
        <v>3464</v>
      </c>
    </row>
    <row r="225" spans="1:15" ht="15.75" customHeight="1">
      <c r="A225" s="31" t="s">
        <v>332</v>
      </c>
      <c r="B225" s="31" t="s">
        <v>23</v>
      </c>
      <c r="C225" s="32">
        <v>45612</v>
      </c>
      <c r="D225" s="31" t="s">
        <v>15</v>
      </c>
      <c r="E225" s="31" t="s">
        <v>19</v>
      </c>
      <c r="F225" s="31">
        <v>2901</v>
      </c>
      <c r="G225" s="31">
        <v>108</v>
      </c>
      <c r="H225" s="31">
        <v>86</v>
      </c>
      <c r="I225" s="31">
        <v>51777</v>
      </c>
      <c r="J225" s="31">
        <v>23773</v>
      </c>
      <c r="K225" s="31">
        <v>160</v>
      </c>
      <c r="L225" s="31" t="s">
        <v>41</v>
      </c>
      <c r="M225" s="31"/>
      <c r="N225" s="33">
        <f>(Table1[[#This Row],[Likes]]+Table1[[#This Row],[Shares]]+Table1[[#This Row],[Comments]])/Table1[[#This Row],[Impressions]]</f>
        <v>5.9775576027966085E-2</v>
      </c>
      <c r="O225" s="31">
        <f>SUM(Table1[[#This Row],[Likes]:[Comments]])</f>
        <v>3095</v>
      </c>
    </row>
    <row r="226" spans="1:15" ht="15.75" customHeight="1">
      <c r="A226" s="31" t="s">
        <v>189</v>
      </c>
      <c r="B226" s="31" t="s">
        <v>14</v>
      </c>
      <c r="C226" s="32">
        <v>45615</v>
      </c>
      <c r="D226" s="31" t="s">
        <v>15</v>
      </c>
      <c r="E226" s="31" t="s">
        <v>32</v>
      </c>
      <c r="F226" s="31">
        <v>2525</v>
      </c>
      <c r="G226" s="31">
        <v>272</v>
      </c>
      <c r="H226" s="31">
        <v>294</v>
      </c>
      <c r="I226" s="31">
        <v>51875</v>
      </c>
      <c r="J226" s="31">
        <v>24732</v>
      </c>
      <c r="K226" s="31">
        <v>92</v>
      </c>
      <c r="L226" s="31" t="s">
        <v>20</v>
      </c>
      <c r="M226" s="31"/>
      <c r="N226" s="33">
        <f>(Table1[[#This Row],[Likes]]+Table1[[#This Row],[Shares]]+Table1[[#This Row],[Comments]])/Table1[[#This Row],[Impressions]]</f>
        <v>5.9585542168674697E-2</v>
      </c>
      <c r="O226" s="31">
        <f>SUM(Table1[[#This Row],[Likes]:[Comments]])</f>
        <v>3091</v>
      </c>
    </row>
    <row r="227" spans="1:15" ht="15.75" customHeight="1">
      <c r="A227" s="31" t="s">
        <v>117</v>
      </c>
      <c r="B227" s="31" t="s">
        <v>14</v>
      </c>
      <c r="C227" s="32">
        <v>45530</v>
      </c>
      <c r="D227" s="31" t="s">
        <v>15</v>
      </c>
      <c r="E227" s="31" t="s">
        <v>47</v>
      </c>
      <c r="F227" s="31">
        <v>2102</v>
      </c>
      <c r="G227" s="31">
        <v>181</v>
      </c>
      <c r="H227" s="31">
        <v>306</v>
      </c>
      <c r="I227" s="31">
        <v>43650</v>
      </c>
      <c r="J227" s="31">
        <v>50079</v>
      </c>
      <c r="K227" s="31">
        <v>182</v>
      </c>
      <c r="L227" s="31" t="s">
        <v>20</v>
      </c>
      <c r="M227" s="31"/>
      <c r="N227" s="33">
        <f>(Table1[[#This Row],[Likes]]+Table1[[#This Row],[Shares]]+Table1[[#This Row],[Comments]])/Table1[[#This Row],[Impressions]]</f>
        <v>5.9312714776632303E-2</v>
      </c>
      <c r="O227" s="31">
        <f>SUM(Table1[[#This Row],[Likes]:[Comments]])</f>
        <v>2589</v>
      </c>
    </row>
    <row r="228" spans="1:15" ht="15.75" customHeight="1">
      <c r="A228" s="31" t="s">
        <v>158</v>
      </c>
      <c r="B228" s="31" t="s">
        <v>29</v>
      </c>
      <c r="C228" s="32">
        <v>45424</v>
      </c>
      <c r="D228" s="31" t="s">
        <v>15</v>
      </c>
      <c r="E228" s="31" t="s">
        <v>45</v>
      </c>
      <c r="F228" s="31">
        <v>2911</v>
      </c>
      <c r="G228" s="31">
        <v>467</v>
      </c>
      <c r="H228" s="31">
        <v>94</v>
      </c>
      <c r="I228" s="31">
        <v>59083</v>
      </c>
      <c r="J228" s="31">
        <v>49762</v>
      </c>
      <c r="K228" s="31">
        <v>236</v>
      </c>
      <c r="L228" s="31" t="s">
        <v>20</v>
      </c>
      <c r="M228" s="31" t="s">
        <v>369</v>
      </c>
      <c r="N228" s="33">
        <f>(Table1[[#This Row],[Likes]]+Table1[[#This Row],[Shares]]+Table1[[#This Row],[Comments]])/Table1[[#This Row],[Impressions]]</f>
        <v>5.8764788517847777E-2</v>
      </c>
      <c r="O228" s="31">
        <f>SUM(Table1[[#This Row],[Likes]:[Comments]])</f>
        <v>3472</v>
      </c>
    </row>
    <row r="229" spans="1:15" ht="15.75" customHeight="1">
      <c r="A229" s="31" t="s">
        <v>88</v>
      </c>
      <c r="B229" s="31" t="s">
        <v>23</v>
      </c>
      <c r="C229" s="32">
        <v>45516</v>
      </c>
      <c r="D229" s="31" t="s">
        <v>24</v>
      </c>
      <c r="E229" s="31" t="s">
        <v>32</v>
      </c>
      <c r="F229" s="31">
        <v>2842</v>
      </c>
      <c r="G229" s="31">
        <v>213</v>
      </c>
      <c r="H229" s="31">
        <v>331</v>
      </c>
      <c r="I229" s="31">
        <v>57660</v>
      </c>
      <c r="J229" s="31">
        <v>68606</v>
      </c>
      <c r="K229" s="31">
        <v>87</v>
      </c>
      <c r="L229" s="31" t="s">
        <v>368</v>
      </c>
      <c r="M229" s="31" t="s">
        <v>38</v>
      </c>
      <c r="N229" s="33">
        <f>(Table1[[#This Row],[Likes]]+Table1[[#This Row],[Shares]]+Table1[[#This Row],[Comments]])/Table1[[#This Row],[Impressions]]</f>
        <v>5.8723551855705859E-2</v>
      </c>
      <c r="O229" s="31">
        <f>SUM(Table1[[#This Row],[Likes]:[Comments]])</f>
        <v>3386</v>
      </c>
    </row>
    <row r="230" spans="1:15" ht="15.75" customHeight="1">
      <c r="A230" s="31" t="s">
        <v>326</v>
      </c>
      <c r="B230" s="31" t="s">
        <v>14</v>
      </c>
      <c r="C230" s="32">
        <v>45472</v>
      </c>
      <c r="D230" s="31" t="s">
        <v>15</v>
      </c>
      <c r="E230" s="31" t="s">
        <v>47</v>
      </c>
      <c r="F230" s="31">
        <v>2088</v>
      </c>
      <c r="G230" s="31">
        <v>490</v>
      </c>
      <c r="H230" s="31">
        <v>124</v>
      </c>
      <c r="I230" s="31">
        <v>46544</v>
      </c>
      <c r="J230" s="31">
        <v>69346</v>
      </c>
      <c r="K230" s="31">
        <v>178</v>
      </c>
      <c r="L230" s="31" t="s">
        <v>41</v>
      </c>
      <c r="M230" s="31" t="s">
        <v>38</v>
      </c>
      <c r="N230" s="33">
        <f>(Table1[[#This Row],[Likes]]+Table1[[#This Row],[Shares]]+Table1[[#This Row],[Comments]])/Table1[[#This Row],[Impressions]]</f>
        <v>5.8052595393606049E-2</v>
      </c>
      <c r="O230" s="31">
        <f>SUM(Table1[[#This Row],[Likes]:[Comments]])</f>
        <v>2702</v>
      </c>
    </row>
    <row r="231" spans="1:15" ht="15.75" customHeight="1">
      <c r="A231" s="31" t="s">
        <v>154</v>
      </c>
      <c r="B231" s="31" t="s">
        <v>23</v>
      </c>
      <c r="C231" s="32">
        <v>45806</v>
      </c>
      <c r="D231" s="31" t="s">
        <v>24</v>
      </c>
      <c r="E231" s="31" t="s">
        <v>30</v>
      </c>
      <c r="F231" s="31">
        <v>2134</v>
      </c>
      <c r="G231" s="31">
        <v>322</v>
      </c>
      <c r="H231" s="31">
        <v>114</v>
      </c>
      <c r="I231" s="31">
        <v>44338</v>
      </c>
      <c r="J231" s="31">
        <v>52165</v>
      </c>
      <c r="K231" s="31">
        <v>176</v>
      </c>
      <c r="L231" s="31" t="s">
        <v>368</v>
      </c>
      <c r="M231" s="31" t="s">
        <v>38</v>
      </c>
      <c r="N231" s="33">
        <f>(Table1[[#This Row],[Likes]]+Table1[[#This Row],[Shares]]+Table1[[#This Row],[Comments]])/Table1[[#This Row],[Impressions]]</f>
        <v>5.7963823356939871E-2</v>
      </c>
      <c r="O231" s="31">
        <f>SUM(Table1[[#This Row],[Likes]:[Comments]])</f>
        <v>2570</v>
      </c>
    </row>
    <row r="232" spans="1:15" ht="15.75" customHeight="1">
      <c r="A232" s="31" t="s">
        <v>311</v>
      </c>
      <c r="B232" s="31" t="s">
        <v>23</v>
      </c>
      <c r="C232" s="32">
        <v>45720</v>
      </c>
      <c r="D232" s="31" t="s">
        <v>15</v>
      </c>
      <c r="E232" s="31" t="s">
        <v>16</v>
      </c>
      <c r="F232" s="31">
        <v>2177</v>
      </c>
      <c r="G232" s="31">
        <v>258</v>
      </c>
      <c r="H232" s="31">
        <v>292</v>
      </c>
      <c r="I232" s="31">
        <v>47276</v>
      </c>
      <c r="J232" s="31">
        <v>51324</v>
      </c>
      <c r="K232" s="31">
        <v>143</v>
      </c>
      <c r="L232" s="31" t="s">
        <v>38</v>
      </c>
      <c r="M232" s="31"/>
      <c r="N232" s="33">
        <f>(Table1[[#This Row],[Likes]]+Table1[[#This Row],[Shares]]+Table1[[#This Row],[Comments]])/Table1[[#This Row],[Impressions]]</f>
        <v>5.7682545054573146E-2</v>
      </c>
      <c r="O232" s="31">
        <f>SUM(Table1[[#This Row],[Likes]:[Comments]])</f>
        <v>2727</v>
      </c>
    </row>
    <row r="233" spans="1:15" ht="15.75" customHeight="1">
      <c r="A233" s="31" t="s">
        <v>290</v>
      </c>
      <c r="B233" s="31" t="s">
        <v>23</v>
      </c>
      <c r="C233" s="32">
        <v>45385</v>
      </c>
      <c r="D233" s="31" t="s">
        <v>24</v>
      </c>
      <c r="E233" s="31" t="s">
        <v>37</v>
      </c>
      <c r="F233" s="31">
        <v>2291</v>
      </c>
      <c r="G233" s="31">
        <v>146</v>
      </c>
      <c r="H233" s="31">
        <v>399</v>
      </c>
      <c r="I233" s="31">
        <v>49319</v>
      </c>
      <c r="J233" s="31">
        <v>28056</v>
      </c>
      <c r="K233" s="31">
        <v>90</v>
      </c>
      <c r="L233" s="31" t="s">
        <v>20</v>
      </c>
      <c r="M233" s="31" t="s">
        <v>368</v>
      </c>
      <c r="N233" s="33">
        <f>(Table1[[#This Row],[Likes]]+Table1[[#This Row],[Shares]]+Table1[[#This Row],[Comments]])/Table1[[#This Row],[Impressions]]</f>
        <v>5.7503193495407452E-2</v>
      </c>
      <c r="O233" s="31">
        <f>SUM(Table1[[#This Row],[Likes]:[Comments]])</f>
        <v>2836</v>
      </c>
    </row>
    <row r="234" spans="1:15" ht="15.75" customHeight="1">
      <c r="A234" s="31" t="s">
        <v>210</v>
      </c>
      <c r="B234" s="31" t="s">
        <v>23</v>
      </c>
      <c r="C234" s="32">
        <v>45748</v>
      </c>
      <c r="D234" s="31" t="s">
        <v>24</v>
      </c>
      <c r="E234" s="31" t="s">
        <v>30</v>
      </c>
      <c r="F234" s="31">
        <v>2665</v>
      </c>
      <c r="G234" s="31">
        <v>143</v>
      </c>
      <c r="H234" s="31">
        <v>315</v>
      </c>
      <c r="I234" s="31">
        <v>54808</v>
      </c>
      <c r="J234" s="31">
        <v>29818</v>
      </c>
      <c r="K234" s="31">
        <v>98</v>
      </c>
      <c r="L234" s="31" t="s">
        <v>20</v>
      </c>
      <c r="M234" s="31" t="s">
        <v>368</v>
      </c>
      <c r="N234" s="33">
        <f>(Table1[[#This Row],[Likes]]+Table1[[#This Row],[Shares]]+Table1[[#This Row],[Comments]])/Table1[[#This Row],[Impressions]]</f>
        <v>5.6980732739746021E-2</v>
      </c>
      <c r="O234" s="31">
        <f>SUM(Table1[[#This Row],[Likes]:[Comments]])</f>
        <v>3123</v>
      </c>
    </row>
    <row r="235" spans="1:15" ht="15.75" customHeight="1">
      <c r="A235" s="31" t="s">
        <v>229</v>
      </c>
      <c r="B235" s="31" t="s">
        <v>23</v>
      </c>
      <c r="C235" s="32">
        <v>45422</v>
      </c>
      <c r="D235" s="31" t="s">
        <v>24</v>
      </c>
      <c r="E235" s="31" t="s">
        <v>19</v>
      </c>
      <c r="F235" s="31">
        <v>2784</v>
      </c>
      <c r="G235" s="31">
        <v>111</v>
      </c>
      <c r="H235" s="31">
        <v>399</v>
      </c>
      <c r="I235" s="31">
        <v>58366</v>
      </c>
      <c r="J235" s="31">
        <v>69512</v>
      </c>
      <c r="K235" s="31">
        <v>269</v>
      </c>
      <c r="L235" s="31" t="s">
        <v>368</v>
      </c>
      <c r="M235" s="31" t="s">
        <v>38</v>
      </c>
      <c r="N235" s="33">
        <f>(Table1[[#This Row],[Likes]]+Table1[[#This Row],[Shares]]+Table1[[#This Row],[Comments]])/Table1[[#This Row],[Impressions]]</f>
        <v>5.6436966727204191E-2</v>
      </c>
      <c r="O235" s="31">
        <f>SUM(Table1[[#This Row],[Likes]:[Comments]])</f>
        <v>3294</v>
      </c>
    </row>
    <row r="236" spans="1:15" ht="15.75" customHeight="1">
      <c r="A236" s="31" t="s">
        <v>334</v>
      </c>
      <c r="B236" s="31" t="s">
        <v>23</v>
      </c>
      <c r="C236" s="32">
        <v>45303</v>
      </c>
      <c r="D236" s="31" t="s">
        <v>24</v>
      </c>
      <c r="E236" s="31" t="s">
        <v>27</v>
      </c>
      <c r="F236" s="31">
        <v>2227</v>
      </c>
      <c r="G236" s="31">
        <v>494</v>
      </c>
      <c r="H236" s="31">
        <v>161</v>
      </c>
      <c r="I236" s="31">
        <v>51651</v>
      </c>
      <c r="J236" s="31">
        <v>68074</v>
      </c>
      <c r="K236" s="31">
        <v>240</v>
      </c>
      <c r="L236" s="31" t="s">
        <v>20</v>
      </c>
      <c r="M236" s="31" t="s">
        <v>368</v>
      </c>
      <c r="N236" s="33">
        <f>(Table1[[#This Row],[Likes]]+Table1[[#This Row],[Shares]]+Table1[[#This Row],[Comments]])/Table1[[#This Row],[Impressions]]</f>
        <v>5.5797564422760453E-2</v>
      </c>
      <c r="O236" s="31">
        <f>SUM(Table1[[#This Row],[Likes]:[Comments]])</f>
        <v>2882</v>
      </c>
    </row>
    <row r="237" spans="1:15" ht="15.75" customHeight="1">
      <c r="A237" s="31" t="s">
        <v>299</v>
      </c>
      <c r="B237" s="31" t="s">
        <v>29</v>
      </c>
      <c r="C237" s="32">
        <v>45808</v>
      </c>
      <c r="D237" s="31" t="s">
        <v>53</v>
      </c>
      <c r="E237" s="31" t="s">
        <v>34</v>
      </c>
      <c r="F237" s="31">
        <v>2162</v>
      </c>
      <c r="G237" s="31">
        <v>318</v>
      </c>
      <c r="H237" s="31">
        <v>83</v>
      </c>
      <c r="I237" s="31">
        <v>46719</v>
      </c>
      <c r="J237" s="31">
        <v>20482</v>
      </c>
      <c r="K237" s="31">
        <v>185</v>
      </c>
      <c r="L237" s="31" t="s">
        <v>20</v>
      </c>
      <c r="M237" s="31" t="s">
        <v>41</v>
      </c>
      <c r="N237" s="33">
        <f>(Table1[[#This Row],[Likes]]+Table1[[#This Row],[Shares]]+Table1[[#This Row],[Comments]])/Table1[[#This Row],[Impressions]]</f>
        <v>5.4859907104176028E-2</v>
      </c>
      <c r="O237" s="31">
        <f>SUM(Table1[[#This Row],[Likes]:[Comments]])</f>
        <v>2563</v>
      </c>
    </row>
    <row r="238" spans="1:15" ht="15.75" customHeight="1">
      <c r="A238" s="31" t="s">
        <v>309</v>
      </c>
      <c r="B238" s="31" t="s">
        <v>14</v>
      </c>
      <c r="C238" s="32">
        <v>45573</v>
      </c>
      <c r="D238" s="31" t="s">
        <v>15</v>
      </c>
      <c r="E238" s="31" t="s">
        <v>19</v>
      </c>
      <c r="F238" s="31">
        <v>2110</v>
      </c>
      <c r="G238" s="31">
        <v>384</v>
      </c>
      <c r="H238" s="31">
        <v>236</v>
      </c>
      <c r="I238" s="31">
        <v>49965</v>
      </c>
      <c r="J238" s="31">
        <v>61555</v>
      </c>
      <c r="K238" s="31">
        <v>195</v>
      </c>
      <c r="L238" s="31" t="s">
        <v>20</v>
      </c>
      <c r="M238" s="31"/>
      <c r="N238" s="33">
        <f>(Table1[[#This Row],[Likes]]+Table1[[#This Row],[Shares]]+Table1[[#This Row],[Comments]])/Table1[[#This Row],[Impressions]]</f>
        <v>5.4638246772740921E-2</v>
      </c>
      <c r="O238" s="31">
        <f>SUM(Table1[[#This Row],[Likes]:[Comments]])</f>
        <v>2730</v>
      </c>
    </row>
    <row r="239" spans="1:15" ht="15.75" customHeight="1">
      <c r="A239" s="31" t="s">
        <v>166</v>
      </c>
      <c r="B239" s="31" t="s">
        <v>23</v>
      </c>
      <c r="C239" s="32">
        <v>45736</v>
      </c>
      <c r="D239" s="31" t="s">
        <v>15</v>
      </c>
      <c r="E239" s="31" t="s">
        <v>47</v>
      </c>
      <c r="F239" s="31">
        <v>1564</v>
      </c>
      <c r="G239" s="31">
        <v>362</v>
      </c>
      <c r="H239" s="31">
        <v>371</v>
      </c>
      <c r="I239" s="31">
        <v>42075</v>
      </c>
      <c r="J239" s="31">
        <v>66659</v>
      </c>
      <c r="K239" s="31">
        <v>205</v>
      </c>
      <c r="L239" s="31" t="s">
        <v>41</v>
      </c>
      <c r="M239" s="31"/>
      <c r="N239" s="33">
        <f>(Table1[[#This Row],[Likes]]+Table1[[#This Row],[Shares]]+Table1[[#This Row],[Comments]])/Table1[[#This Row],[Impressions]]</f>
        <v>5.4592988710635768E-2</v>
      </c>
      <c r="O239" s="31">
        <f>SUM(Table1[[#This Row],[Likes]:[Comments]])</f>
        <v>2297</v>
      </c>
    </row>
    <row r="240" spans="1:15" ht="15.75" customHeight="1">
      <c r="A240" s="31" t="s">
        <v>317</v>
      </c>
      <c r="B240" s="31" t="s">
        <v>23</v>
      </c>
      <c r="C240" s="32">
        <v>45343</v>
      </c>
      <c r="D240" s="31" t="s">
        <v>24</v>
      </c>
      <c r="E240" s="31" t="s">
        <v>34</v>
      </c>
      <c r="F240" s="31">
        <v>2604</v>
      </c>
      <c r="G240" s="31">
        <v>439</v>
      </c>
      <c r="H240" s="31">
        <v>148</v>
      </c>
      <c r="I240" s="31">
        <v>58468</v>
      </c>
      <c r="J240" s="31">
        <v>39629</v>
      </c>
      <c r="K240" s="31">
        <v>163</v>
      </c>
      <c r="L240" s="31" t="s">
        <v>368</v>
      </c>
      <c r="M240" s="31" t="s">
        <v>38</v>
      </c>
      <c r="N240" s="33">
        <f>(Table1[[#This Row],[Likes]]+Table1[[#This Row],[Shares]]+Table1[[#This Row],[Comments]])/Table1[[#This Row],[Impressions]]</f>
        <v>5.4576862557296296E-2</v>
      </c>
      <c r="O240" s="31">
        <f>SUM(Table1[[#This Row],[Likes]:[Comments]])</f>
        <v>3191</v>
      </c>
    </row>
    <row r="241" spans="1:15" ht="15.75" customHeight="1">
      <c r="A241" s="31" t="s">
        <v>298</v>
      </c>
      <c r="B241" s="31" t="s">
        <v>29</v>
      </c>
      <c r="C241" s="32">
        <v>45378</v>
      </c>
      <c r="D241" s="31" t="s">
        <v>15</v>
      </c>
      <c r="E241" s="31" t="s">
        <v>30</v>
      </c>
      <c r="F241" s="31">
        <v>2399</v>
      </c>
      <c r="G241" s="31">
        <v>191</v>
      </c>
      <c r="H241" s="31">
        <v>221</v>
      </c>
      <c r="I241" s="31">
        <v>51603</v>
      </c>
      <c r="J241" s="31">
        <v>40033</v>
      </c>
      <c r="K241" s="31">
        <v>173</v>
      </c>
      <c r="L241" s="31" t="s">
        <v>20</v>
      </c>
      <c r="M241" s="31" t="s">
        <v>369</v>
      </c>
      <c r="N241" s="33">
        <f>(Table1[[#This Row],[Likes]]+Table1[[#This Row],[Shares]]+Table1[[#This Row],[Comments]])/Table1[[#This Row],[Impressions]]</f>
        <v>5.4473577117609438E-2</v>
      </c>
      <c r="O241" s="31">
        <f>SUM(Table1[[#This Row],[Likes]:[Comments]])</f>
        <v>2811</v>
      </c>
    </row>
    <row r="242" spans="1:15" ht="15.75" customHeight="1">
      <c r="A242" s="31" t="s">
        <v>42</v>
      </c>
      <c r="B242" s="31" t="s">
        <v>14</v>
      </c>
      <c r="C242" s="32">
        <v>45426</v>
      </c>
      <c r="D242" s="31" t="s">
        <v>15</v>
      </c>
      <c r="E242" s="31" t="s">
        <v>16</v>
      </c>
      <c r="F242" s="31">
        <v>1485</v>
      </c>
      <c r="G242" s="31">
        <v>353</v>
      </c>
      <c r="H242" s="31">
        <v>244</v>
      </c>
      <c r="I242" s="31">
        <v>38419</v>
      </c>
      <c r="J242" s="31">
        <v>38556</v>
      </c>
      <c r="K242" s="31">
        <v>86</v>
      </c>
      <c r="L242" s="31" t="s">
        <v>41</v>
      </c>
      <c r="M242" s="31" t="s">
        <v>38</v>
      </c>
      <c r="N242" s="33">
        <f>(Table1[[#This Row],[Likes]]+Table1[[#This Row],[Shares]]+Table1[[#This Row],[Comments]])/Table1[[#This Row],[Impressions]]</f>
        <v>5.4191936281527367E-2</v>
      </c>
      <c r="O242" s="31">
        <f>SUM(Table1[[#This Row],[Likes]:[Comments]])</f>
        <v>2082</v>
      </c>
    </row>
    <row r="243" spans="1:15" ht="15.75" customHeight="1">
      <c r="A243" s="31" t="s">
        <v>273</v>
      </c>
      <c r="B243" s="31" t="s">
        <v>14</v>
      </c>
      <c r="C243" s="32">
        <v>45823</v>
      </c>
      <c r="D243" s="31" t="s">
        <v>15</v>
      </c>
      <c r="E243" s="31" t="s">
        <v>19</v>
      </c>
      <c r="F243" s="31">
        <v>2478</v>
      </c>
      <c r="G243" s="31">
        <v>427</v>
      </c>
      <c r="H243" s="31">
        <v>242</v>
      </c>
      <c r="I243" s="31">
        <v>59272</v>
      </c>
      <c r="J243" s="31">
        <v>37833</v>
      </c>
      <c r="K243" s="31">
        <v>214</v>
      </c>
      <c r="L243" s="31" t="s">
        <v>41</v>
      </c>
      <c r="M243" s="31" t="s">
        <v>38</v>
      </c>
      <c r="N243" s="33">
        <f>(Table1[[#This Row],[Likes]]+Table1[[#This Row],[Shares]]+Table1[[#This Row],[Comments]])/Table1[[#This Row],[Impressions]]</f>
        <v>5.3094209744904843E-2</v>
      </c>
      <c r="O243" s="31">
        <f>SUM(Table1[[#This Row],[Likes]:[Comments]])</f>
        <v>3147</v>
      </c>
    </row>
    <row r="244" spans="1:15" ht="15.75" customHeight="1">
      <c r="A244" s="31" t="s">
        <v>147</v>
      </c>
      <c r="B244" s="31" t="s">
        <v>14</v>
      </c>
      <c r="C244" s="32">
        <v>45704</v>
      </c>
      <c r="D244" s="31" t="s">
        <v>15</v>
      </c>
      <c r="E244" s="31" t="s">
        <v>47</v>
      </c>
      <c r="F244" s="31">
        <v>1333</v>
      </c>
      <c r="G244" s="31">
        <v>286</v>
      </c>
      <c r="H244" s="31">
        <v>298</v>
      </c>
      <c r="I244" s="31">
        <v>36174</v>
      </c>
      <c r="J244" s="31">
        <v>34517</v>
      </c>
      <c r="K244" s="31">
        <v>170</v>
      </c>
      <c r="L244" s="31" t="s">
        <v>41</v>
      </c>
      <c r="M244" s="31" t="s">
        <v>38</v>
      </c>
      <c r="N244" s="33">
        <f>(Table1[[#This Row],[Likes]]+Table1[[#This Row],[Shares]]+Table1[[#This Row],[Comments]])/Table1[[#This Row],[Impressions]]</f>
        <v>5.2993862995521647E-2</v>
      </c>
      <c r="O244" s="31">
        <f>SUM(Table1[[#This Row],[Likes]:[Comments]])</f>
        <v>1917</v>
      </c>
    </row>
    <row r="245" spans="1:15" ht="15.75" customHeight="1">
      <c r="A245" s="31" t="s">
        <v>260</v>
      </c>
      <c r="B245" s="31" t="s">
        <v>29</v>
      </c>
      <c r="C245" s="32">
        <v>45323</v>
      </c>
      <c r="D245" s="31" t="s">
        <v>15</v>
      </c>
      <c r="E245" s="31" t="s">
        <v>27</v>
      </c>
      <c r="F245" s="31">
        <v>1432</v>
      </c>
      <c r="G245" s="31">
        <v>437</v>
      </c>
      <c r="H245" s="31">
        <v>267</v>
      </c>
      <c r="I245" s="31">
        <v>40634</v>
      </c>
      <c r="J245" s="31">
        <v>54511</v>
      </c>
      <c r="K245" s="31">
        <v>197</v>
      </c>
      <c r="L245" s="31" t="s">
        <v>20</v>
      </c>
      <c r="M245" s="31" t="s">
        <v>369</v>
      </c>
      <c r="N245" s="33">
        <f>(Table1[[#This Row],[Likes]]+Table1[[#This Row],[Shares]]+Table1[[#This Row],[Comments]])/Table1[[#This Row],[Impressions]]</f>
        <v>5.2566815966924252E-2</v>
      </c>
      <c r="O245" s="31">
        <f>SUM(Table1[[#This Row],[Likes]:[Comments]])</f>
        <v>2136</v>
      </c>
    </row>
    <row r="246" spans="1:15" ht="15.75" customHeight="1">
      <c r="A246" s="31" t="s">
        <v>261</v>
      </c>
      <c r="B246" s="31" t="s">
        <v>23</v>
      </c>
      <c r="C246" s="32">
        <v>45308</v>
      </c>
      <c r="D246" s="31" t="s">
        <v>24</v>
      </c>
      <c r="E246" s="31" t="s">
        <v>25</v>
      </c>
      <c r="F246" s="31">
        <v>2174</v>
      </c>
      <c r="G246" s="31">
        <v>499</v>
      </c>
      <c r="H246" s="31">
        <v>212</v>
      </c>
      <c r="I246" s="31">
        <v>54938</v>
      </c>
      <c r="J246" s="31">
        <v>27190</v>
      </c>
      <c r="K246" s="31">
        <v>265</v>
      </c>
      <c r="L246" s="31" t="s">
        <v>368</v>
      </c>
      <c r="M246" s="31" t="s">
        <v>38</v>
      </c>
      <c r="N246" s="33">
        <f>(Table1[[#This Row],[Likes]]+Table1[[#This Row],[Shares]]+Table1[[#This Row],[Comments]])/Table1[[#This Row],[Impressions]]</f>
        <v>5.2513742764570971E-2</v>
      </c>
      <c r="O246" s="31">
        <f>SUM(Table1[[#This Row],[Likes]:[Comments]])</f>
        <v>2885</v>
      </c>
    </row>
    <row r="247" spans="1:15" ht="15.75" customHeight="1">
      <c r="A247" s="31" t="s">
        <v>291</v>
      </c>
      <c r="B247" s="31" t="s">
        <v>23</v>
      </c>
      <c r="C247" s="32">
        <v>45481</v>
      </c>
      <c r="D247" s="31" t="s">
        <v>24</v>
      </c>
      <c r="E247" s="31" t="s">
        <v>27</v>
      </c>
      <c r="F247" s="31">
        <v>2304</v>
      </c>
      <c r="G247" s="31">
        <v>289</v>
      </c>
      <c r="H247" s="31">
        <v>161</v>
      </c>
      <c r="I247" s="31">
        <v>52645</v>
      </c>
      <c r="J247" s="31">
        <v>66262</v>
      </c>
      <c r="K247" s="31">
        <v>146</v>
      </c>
      <c r="L247" s="31" t="s">
        <v>368</v>
      </c>
      <c r="M247" s="31" t="s">
        <v>38</v>
      </c>
      <c r="N247" s="33">
        <f>(Table1[[#This Row],[Likes]]+Table1[[#This Row],[Shares]]+Table1[[#This Row],[Comments]])/Table1[[#This Row],[Impressions]]</f>
        <v>5.2312660271630736E-2</v>
      </c>
      <c r="O247" s="31">
        <f>SUM(Table1[[#This Row],[Likes]:[Comments]])</f>
        <v>2754</v>
      </c>
    </row>
    <row r="248" spans="1:15" ht="15.75" customHeight="1">
      <c r="A248" s="31" t="s">
        <v>108</v>
      </c>
      <c r="B248" s="31" t="s">
        <v>29</v>
      </c>
      <c r="C248" s="32">
        <v>45783</v>
      </c>
      <c r="D248" s="31" t="s">
        <v>53</v>
      </c>
      <c r="E248" s="31" t="s">
        <v>16</v>
      </c>
      <c r="F248" s="31">
        <v>1085</v>
      </c>
      <c r="G248" s="31">
        <v>496</v>
      </c>
      <c r="H248" s="31">
        <v>320</v>
      </c>
      <c r="I248" s="31">
        <v>36528</v>
      </c>
      <c r="J248" s="31">
        <v>38599</v>
      </c>
      <c r="K248" s="31">
        <v>270</v>
      </c>
      <c r="L248" s="31" t="s">
        <v>20</v>
      </c>
      <c r="M248" s="31" t="s">
        <v>41</v>
      </c>
      <c r="N248" s="33">
        <f>(Table1[[#This Row],[Likes]]+Table1[[#This Row],[Shares]]+Table1[[#This Row],[Comments]])/Table1[[#This Row],[Impressions]]</f>
        <v>5.2042268944371438E-2</v>
      </c>
      <c r="O248" s="31">
        <f>SUM(Table1[[#This Row],[Likes]:[Comments]])</f>
        <v>1901</v>
      </c>
    </row>
    <row r="249" spans="1:15" ht="15.75" customHeight="1">
      <c r="A249" s="31" t="s">
        <v>251</v>
      </c>
      <c r="B249" s="31" t="s">
        <v>23</v>
      </c>
      <c r="C249" s="32">
        <v>45669</v>
      </c>
      <c r="D249" s="31" t="s">
        <v>15</v>
      </c>
      <c r="E249" s="31" t="s">
        <v>30</v>
      </c>
      <c r="F249" s="31">
        <v>1765</v>
      </c>
      <c r="G249" s="31">
        <v>285</v>
      </c>
      <c r="H249" s="31">
        <v>100</v>
      </c>
      <c r="I249" s="31">
        <v>41313</v>
      </c>
      <c r="J249" s="31">
        <v>56575</v>
      </c>
      <c r="K249" s="31">
        <v>174</v>
      </c>
      <c r="L249" s="31" t="s">
        <v>41</v>
      </c>
      <c r="M249" s="31"/>
      <c r="N249" s="33">
        <f>(Table1[[#This Row],[Likes]]+Table1[[#This Row],[Shares]]+Table1[[#This Row],[Comments]])/Table1[[#This Row],[Impressions]]</f>
        <v>5.2041730205988429E-2</v>
      </c>
      <c r="O249" s="31">
        <f>SUM(Table1[[#This Row],[Likes]:[Comments]])</f>
        <v>2150</v>
      </c>
    </row>
    <row r="250" spans="1:15" ht="15.75" customHeight="1">
      <c r="A250" s="31" t="s">
        <v>307</v>
      </c>
      <c r="B250" s="31" t="s">
        <v>23</v>
      </c>
      <c r="C250" s="32">
        <v>45603</v>
      </c>
      <c r="D250" s="31" t="s">
        <v>15</v>
      </c>
      <c r="E250" s="31" t="s">
        <v>19</v>
      </c>
      <c r="F250" s="31">
        <v>2229</v>
      </c>
      <c r="G250" s="31">
        <v>395</v>
      </c>
      <c r="H250" s="31">
        <v>328</v>
      </c>
      <c r="I250" s="31">
        <v>56921</v>
      </c>
      <c r="J250" s="31">
        <v>37176</v>
      </c>
      <c r="K250" s="31">
        <v>126</v>
      </c>
      <c r="L250" s="31" t="s">
        <v>41</v>
      </c>
      <c r="M250" s="31"/>
      <c r="N250" s="33">
        <f>(Table1[[#This Row],[Likes]]+Table1[[#This Row],[Shares]]+Table1[[#This Row],[Comments]])/Table1[[#This Row],[Impressions]]</f>
        <v>5.1861351697967357E-2</v>
      </c>
      <c r="O250" s="31">
        <f>SUM(Table1[[#This Row],[Likes]:[Comments]])</f>
        <v>2952</v>
      </c>
    </row>
    <row r="251" spans="1:15" ht="15.75" customHeight="1">
      <c r="A251" s="31" t="s">
        <v>231</v>
      </c>
      <c r="B251" s="31" t="s">
        <v>14</v>
      </c>
      <c r="C251" s="32">
        <v>45669</v>
      </c>
      <c r="D251" s="31" t="s">
        <v>15</v>
      </c>
      <c r="E251" s="31" t="s">
        <v>45</v>
      </c>
      <c r="F251" s="31">
        <v>1771</v>
      </c>
      <c r="G251" s="31">
        <v>487</v>
      </c>
      <c r="H251" s="31">
        <v>272</v>
      </c>
      <c r="I251" s="31">
        <v>48810</v>
      </c>
      <c r="J251" s="31">
        <v>48084</v>
      </c>
      <c r="K251" s="31">
        <v>272</v>
      </c>
      <c r="L251" s="31" t="s">
        <v>41</v>
      </c>
      <c r="M251" s="31" t="s">
        <v>38</v>
      </c>
      <c r="N251" s="33">
        <f>(Table1[[#This Row],[Likes]]+Table1[[#This Row],[Shares]]+Table1[[#This Row],[Comments]])/Table1[[#This Row],[Impressions]]</f>
        <v>5.1833640647408315E-2</v>
      </c>
      <c r="O251" s="31">
        <f>SUM(Table1[[#This Row],[Likes]:[Comments]])</f>
        <v>2530</v>
      </c>
    </row>
    <row r="252" spans="1:15" ht="15.75" customHeight="1">
      <c r="A252" s="31" t="s">
        <v>61</v>
      </c>
      <c r="B252" s="31" t="s">
        <v>23</v>
      </c>
      <c r="C252" s="32">
        <v>45791</v>
      </c>
      <c r="D252" s="31" t="s">
        <v>24</v>
      </c>
      <c r="E252" s="31" t="s">
        <v>45</v>
      </c>
      <c r="F252" s="31">
        <v>2707</v>
      </c>
      <c r="G252" s="31">
        <v>103</v>
      </c>
      <c r="H252" s="31">
        <v>51</v>
      </c>
      <c r="I252" s="31">
        <v>55302</v>
      </c>
      <c r="J252" s="31">
        <v>18801</v>
      </c>
      <c r="K252" s="31">
        <v>147</v>
      </c>
      <c r="L252" s="31" t="s">
        <v>20</v>
      </c>
      <c r="M252" s="31" t="s">
        <v>368</v>
      </c>
      <c r="N252" s="33">
        <f>(Table1[[#This Row],[Likes]]+Table1[[#This Row],[Shares]]+Table1[[#This Row],[Comments]])/Table1[[#This Row],[Impressions]]</f>
        <v>5.173411449857148E-2</v>
      </c>
      <c r="O252" s="31">
        <f>SUM(Table1[[#This Row],[Likes]:[Comments]])</f>
        <v>2861</v>
      </c>
    </row>
    <row r="253" spans="1:15" ht="15.75" customHeight="1">
      <c r="A253" s="31" t="s">
        <v>110</v>
      </c>
      <c r="B253" s="31" t="s">
        <v>23</v>
      </c>
      <c r="C253" s="32">
        <v>45313</v>
      </c>
      <c r="D253" s="31" t="s">
        <v>24</v>
      </c>
      <c r="E253" s="31" t="s">
        <v>45</v>
      </c>
      <c r="F253" s="31">
        <v>1554</v>
      </c>
      <c r="G253" s="31">
        <v>455</v>
      </c>
      <c r="H253" s="31">
        <v>158</v>
      </c>
      <c r="I253" s="31">
        <v>41947</v>
      </c>
      <c r="J253" s="31">
        <v>48578</v>
      </c>
      <c r="K253" s="31">
        <v>101</v>
      </c>
      <c r="L253" s="31" t="s">
        <v>41</v>
      </c>
      <c r="M253" s="31" t="s">
        <v>38</v>
      </c>
      <c r="N253" s="33">
        <f>(Table1[[#This Row],[Likes]]+Table1[[#This Row],[Shares]]+Table1[[#This Row],[Comments]])/Table1[[#This Row],[Impressions]]</f>
        <v>5.1660428636136076E-2</v>
      </c>
      <c r="O253" s="31">
        <f>SUM(Table1[[#This Row],[Likes]:[Comments]])</f>
        <v>2167</v>
      </c>
    </row>
    <row r="254" spans="1:15" ht="15.75" customHeight="1">
      <c r="A254" s="31" t="s">
        <v>149</v>
      </c>
      <c r="B254" s="31" t="s">
        <v>23</v>
      </c>
      <c r="C254" s="32">
        <v>45489</v>
      </c>
      <c r="D254" s="31" t="s">
        <v>15</v>
      </c>
      <c r="E254" s="31" t="s">
        <v>37</v>
      </c>
      <c r="F254" s="31">
        <v>1803</v>
      </c>
      <c r="G254" s="31">
        <v>273</v>
      </c>
      <c r="H254" s="31">
        <v>287</v>
      </c>
      <c r="I254" s="31">
        <v>46176</v>
      </c>
      <c r="J254" s="31">
        <v>25488</v>
      </c>
      <c r="K254" s="31">
        <v>141</v>
      </c>
      <c r="L254" s="31" t="s">
        <v>38</v>
      </c>
      <c r="M254" s="31"/>
      <c r="N254" s="33">
        <f>(Table1[[#This Row],[Likes]]+Table1[[#This Row],[Shares]]+Table1[[#This Row],[Comments]])/Table1[[#This Row],[Impressions]]</f>
        <v>5.1173769923769923E-2</v>
      </c>
      <c r="O254" s="31">
        <f>SUM(Table1[[#This Row],[Likes]:[Comments]])</f>
        <v>2363</v>
      </c>
    </row>
    <row r="255" spans="1:15" ht="15.75" customHeight="1">
      <c r="A255" s="31" t="s">
        <v>288</v>
      </c>
      <c r="B255" s="31" t="s">
        <v>29</v>
      </c>
      <c r="C255" s="32">
        <v>45512</v>
      </c>
      <c r="D255" s="31" t="s">
        <v>15</v>
      </c>
      <c r="E255" s="31" t="s">
        <v>45</v>
      </c>
      <c r="F255" s="31">
        <v>1994</v>
      </c>
      <c r="G255" s="31">
        <v>197</v>
      </c>
      <c r="H255" s="31">
        <v>290</v>
      </c>
      <c r="I255" s="31">
        <v>49500</v>
      </c>
      <c r="J255" s="31">
        <v>23343</v>
      </c>
      <c r="K255" s="31">
        <v>160</v>
      </c>
      <c r="L255" s="31" t="s">
        <v>20</v>
      </c>
      <c r="M255" s="31" t="s">
        <v>369</v>
      </c>
      <c r="N255" s="33">
        <f>(Table1[[#This Row],[Likes]]+Table1[[#This Row],[Shares]]+Table1[[#This Row],[Comments]])/Table1[[#This Row],[Impressions]]</f>
        <v>5.0121212121212122E-2</v>
      </c>
      <c r="O255" s="31">
        <f>SUM(Table1[[#This Row],[Likes]:[Comments]])</f>
        <v>2481</v>
      </c>
    </row>
    <row r="256" spans="1:15" ht="15.75" customHeight="1">
      <c r="A256" s="31" t="s">
        <v>195</v>
      </c>
      <c r="B256" s="31" t="s">
        <v>29</v>
      </c>
      <c r="C256" s="32">
        <v>45330</v>
      </c>
      <c r="D256" s="31" t="s">
        <v>53</v>
      </c>
      <c r="E256" s="31" t="s">
        <v>37</v>
      </c>
      <c r="F256" s="31">
        <v>1889</v>
      </c>
      <c r="G256" s="31">
        <v>298</v>
      </c>
      <c r="H256" s="31">
        <v>122</v>
      </c>
      <c r="I256" s="31">
        <v>46225</v>
      </c>
      <c r="J256" s="31">
        <v>74305</v>
      </c>
      <c r="K256" s="31">
        <v>293</v>
      </c>
      <c r="L256" s="31" t="s">
        <v>20</v>
      </c>
      <c r="M256" s="31" t="s">
        <v>41</v>
      </c>
      <c r="N256" s="33">
        <f>(Table1[[#This Row],[Likes]]+Table1[[#This Row],[Shares]]+Table1[[#This Row],[Comments]])/Table1[[#This Row],[Impressions]]</f>
        <v>4.9951325040562468E-2</v>
      </c>
      <c r="O256" s="31">
        <f>SUM(Table1[[#This Row],[Likes]:[Comments]])</f>
        <v>2309</v>
      </c>
    </row>
    <row r="257" spans="1:15" ht="15.75" customHeight="1">
      <c r="A257" s="31" t="s">
        <v>151</v>
      </c>
      <c r="B257" s="31" t="s">
        <v>14</v>
      </c>
      <c r="C257" s="32">
        <v>45781</v>
      </c>
      <c r="D257" s="31" t="s">
        <v>24</v>
      </c>
      <c r="E257" s="31" t="s">
        <v>25</v>
      </c>
      <c r="F257" s="31">
        <v>1311</v>
      </c>
      <c r="G257" s="31">
        <v>181</v>
      </c>
      <c r="H257" s="31">
        <v>361</v>
      </c>
      <c r="I257" s="31">
        <v>37148</v>
      </c>
      <c r="J257" s="31">
        <v>44875</v>
      </c>
      <c r="K257" s="31">
        <v>245</v>
      </c>
      <c r="L257" s="31" t="s">
        <v>38</v>
      </c>
      <c r="M257" s="31"/>
      <c r="N257" s="33">
        <f>(Table1[[#This Row],[Likes]]+Table1[[#This Row],[Shares]]+Table1[[#This Row],[Comments]])/Table1[[#This Row],[Impressions]]</f>
        <v>4.9881554861634543E-2</v>
      </c>
      <c r="O257" s="31">
        <f>SUM(Table1[[#This Row],[Likes]:[Comments]])</f>
        <v>1853</v>
      </c>
    </row>
    <row r="258" spans="1:15" ht="15.75" customHeight="1">
      <c r="A258" s="31" t="s">
        <v>265</v>
      </c>
      <c r="B258" s="31" t="s">
        <v>29</v>
      </c>
      <c r="C258" s="32">
        <v>45791</v>
      </c>
      <c r="D258" s="31" t="s">
        <v>15</v>
      </c>
      <c r="E258" s="31" t="s">
        <v>16</v>
      </c>
      <c r="F258" s="31">
        <v>1701</v>
      </c>
      <c r="G258" s="31">
        <v>272</v>
      </c>
      <c r="H258" s="31">
        <v>385</v>
      </c>
      <c r="I258" s="31">
        <v>47496</v>
      </c>
      <c r="J258" s="31">
        <v>40832</v>
      </c>
      <c r="K258" s="31">
        <v>246</v>
      </c>
      <c r="L258" s="31" t="s">
        <v>20</v>
      </c>
      <c r="M258" s="31" t="s">
        <v>369</v>
      </c>
      <c r="N258" s="33">
        <f>(Table1[[#This Row],[Likes]]+Table1[[#This Row],[Shares]]+Table1[[#This Row],[Comments]])/Table1[[#This Row],[Impressions]]</f>
        <v>4.9646286003031836E-2</v>
      </c>
      <c r="O258" s="31">
        <f>SUM(Table1[[#This Row],[Likes]:[Comments]])</f>
        <v>2358</v>
      </c>
    </row>
    <row r="259" spans="1:15" ht="15.75" customHeight="1">
      <c r="A259" s="31" t="s">
        <v>276</v>
      </c>
      <c r="B259" s="31" t="s">
        <v>23</v>
      </c>
      <c r="C259" s="32">
        <v>45550</v>
      </c>
      <c r="D259" s="31" t="s">
        <v>15</v>
      </c>
      <c r="E259" s="31" t="s">
        <v>34</v>
      </c>
      <c r="F259" s="31">
        <v>2145</v>
      </c>
      <c r="G259" s="31">
        <v>340</v>
      </c>
      <c r="H259" s="31">
        <v>85</v>
      </c>
      <c r="I259" s="31">
        <v>53323</v>
      </c>
      <c r="J259" s="31">
        <v>49938</v>
      </c>
      <c r="K259" s="31">
        <v>104</v>
      </c>
      <c r="L259" s="31" t="s">
        <v>38</v>
      </c>
      <c r="M259" s="31"/>
      <c r="N259" s="33">
        <f>(Table1[[#This Row],[Likes]]+Table1[[#This Row],[Shares]]+Table1[[#This Row],[Comments]])/Table1[[#This Row],[Impressions]]</f>
        <v>4.819683813738912E-2</v>
      </c>
      <c r="O259" s="31">
        <f>SUM(Table1[[#This Row],[Likes]:[Comments]])</f>
        <v>2570</v>
      </c>
    </row>
    <row r="260" spans="1:15" ht="15.75" customHeight="1">
      <c r="A260" s="31" t="s">
        <v>90</v>
      </c>
      <c r="B260" s="31" t="s">
        <v>23</v>
      </c>
      <c r="C260" s="32">
        <v>45420</v>
      </c>
      <c r="D260" s="31" t="s">
        <v>15</v>
      </c>
      <c r="E260" s="31" t="s">
        <v>19</v>
      </c>
      <c r="F260" s="31">
        <v>1828</v>
      </c>
      <c r="G260" s="31">
        <v>450</v>
      </c>
      <c r="H260" s="31">
        <v>214</v>
      </c>
      <c r="I260" s="31">
        <v>52115</v>
      </c>
      <c r="J260" s="31">
        <v>19166</v>
      </c>
      <c r="K260" s="31">
        <v>190</v>
      </c>
      <c r="L260" s="31" t="s">
        <v>38</v>
      </c>
      <c r="M260" s="31"/>
      <c r="N260" s="33">
        <f>(Table1[[#This Row],[Likes]]+Table1[[#This Row],[Shares]]+Table1[[#This Row],[Comments]])/Table1[[#This Row],[Impressions]]</f>
        <v>4.781732706514439E-2</v>
      </c>
      <c r="O260" s="31">
        <f>SUM(Table1[[#This Row],[Likes]:[Comments]])</f>
        <v>2492</v>
      </c>
    </row>
    <row r="261" spans="1:15" ht="15.75" customHeight="1">
      <c r="A261" s="31" t="s">
        <v>168</v>
      </c>
      <c r="B261" s="31" t="s">
        <v>29</v>
      </c>
      <c r="C261" s="32">
        <v>45318</v>
      </c>
      <c r="D261" s="31" t="s">
        <v>15</v>
      </c>
      <c r="E261" s="31" t="s">
        <v>47</v>
      </c>
      <c r="F261" s="31">
        <v>1976</v>
      </c>
      <c r="G261" s="31">
        <v>262</v>
      </c>
      <c r="H261" s="31">
        <v>218</v>
      </c>
      <c r="I261" s="31">
        <v>51696</v>
      </c>
      <c r="J261" s="31">
        <v>44846</v>
      </c>
      <c r="K261" s="31">
        <v>139</v>
      </c>
      <c r="L261" s="31" t="s">
        <v>20</v>
      </c>
      <c r="M261" s="31" t="s">
        <v>369</v>
      </c>
      <c r="N261" s="33">
        <f>(Table1[[#This Row],[Likes]]+Table1[[#This Row],[Shares]]+Table1[[#This Row],[Comments]])/Table1[[#This Row],[Impressions]]</f>
        <v>4.7508511296812134E-2</v>
      </c>
      <c r="O261" s="31">
        <f>SUM(Table1[[#This Row],[Likes]:[Comments]])</f>
        <v>2456</v>
      </c>
    </row>
    <row r="262" spans="1:15" ht="15.75" customHeight="1">
      <c r="A262" s="31" t="s">
        <v>49</v>
      </c>
      <c r="B262" s="31" t="s">
        <v>23</v>
      </c>
      <c r="C262" s="32">
        <v>45453</v>
      </c>
      <c r="D262" s="31" t="s">
        <v>15</v>
      </c>
      <c r="E262" s="31" t="s">
        <v>32</v>
      </c>
      <c r="F262" s="31">
        <v>1514</v>
      </c>
      <c r="G262" s="31">
        <v>164</v>
      </c>
      <c r="H262" s="31">
        <v>275</v>
      </c>
      <c r="I262" s="31">
        <v>41364</v>
      </c>
      <c r="J262" s="31">
        <v>44389</v>
      </c>
      <c r="K262" s="31">
        <v>83</v>
      </c>
      <c r="L262" s="31" t="s">
        <v>38</v>
      </c>
      <c r="M262" s="31"/>
      <c r="N262" s="33">
        <f>(Table1[[#This Row],[Likes]]+Table1[[#This Row],[Shares]]+Table1[[#This Row],[Comments]])/Table1[[#This Row],[Impressions]]</f>
        <v>4.7214969538729328E-2</v>
      </c>
      <c r="O262" s="31">
        <f>SUM(Table1[[#This Row],[Likes]:[Comments]])</f>
        <v>1953</v>
      </c>
    </row>
    <row r="263" spans="1:15" ht="15.75" customHeight="1">
      <c r="A263" s="31" t="s">
        <v>155</v>
      </c>
      <c r="B263" s="31" t="s">
        <v>14</v>
      </c>
      <c r="C263" s="32">
        <v>45674</v>
      </c>
      <c r="D263" s="31" t="s">
        <v>15</v>
      </c>
      <c r="E263" s="31" t="s">
        <v>37</v>
      </c>
      <c r="F263" s="31">
        <v>2266</v>
      </c>
      <c r="G263" s="31">
        <v>126</v>
      </c>
      <c r="H263" s="31">
        <v>140</v>
      </c>
      <c r="I263" s="31">
        <v>53759</v>
      </c>
      <c r="J263" s="31">
        <v>46834</v>
      </c>
      <c r="K263" s="31">
        <v>277</v>
      </c>
      <c r="L263" s="31" t="s">
        <v>20</v>
      </c>
      <c r="M263" s="31"/>
      <c r="N263" s="33">
        <f>(Table1[[#This Row],[Likes]]+Table1[[#This Row],[Shares]]+Table1[[#This Row],[Comments]])/Table1[[#This Row],[Impressions]]</f>
        <v>4.7099090384865788E-2</v>
      </c>
      <c r="O263" s="31">
        <f>SUM(Table1[[#This Row],[Likes]:[Comments]])</f>
        <v>2532</v>
      </c>
    </row>
    <row r="264" spans="1:15" ht="15.75" customHeight="1">
      <c r="A264" s="31" t="s">
        <v>104</v>
      </c>
      <c r="B264" s="31" t="s">
        <v>23</v>
      </c>
      <c r="C264" s="32">
        <v>45643</v>
      </c>
      <c r="D264" s="31" t="s">
        <v>24</v>
      </c>
      <c r="E264" s="31" t="s">
        <v>30</v>
      </c>
      <c r="F264" s="31">
        <v>1316</v>
      </c>
      <c r="G264" s="31">
        <v>472</v>
      </c>
      <c r="H264" s="31">
        <v>286</v>
      </c>
      <c r="I264" s="31">
        <v>44692</v>
      </c>
      <c r="J264" s="31">
        <v>53343</v>
      </c>
      <c r="K264" s="31">
        <v>227</v>
      </c>
      <c r="L264" s="31" t="s">
        <v>20</v>
      </c>
      <c r="M264" s="31" t="s">
        <v>368</v>
      </c>
      <c r="N264" s="33">
        <f>(Table1[[#This Row],[Likes]]+Table1[[#This Row],[Shares]]+Table1[[#This Row],[Comments]])/Table1[[#This Row],[Impressions]]</f>
        <v>4.6406515707509172E-2</v>
      </c>
      <c r="O264" s="31">
        <f>SUM(Table1[[#This Row],[Likes]:[Comments]])</f>
        <v>2074</v>
      </c>
    </row>
    <row r="265" spans="1:15" ht="15.75" customHeight="1">
      <c r="A265" s="31" t="s">
        <v>254</v>
      </c>
      <c r="B265" s="31" t="s">
        <v>23</v>
      </c>
      <c r="C265" s="32">
        <v>45332</v>
      </c>
      <c r="D265" s="31" t="s">
        <v>15</v>
      </c>
      <c r="E265" s="31" t="s">
        <v>45</v>
      </c>
      <c r="F265" s="31">
        <v>1519</v>
      </c>
      <c r="G265" s="31">
        <v>456</v>
      </c>
      <c r="H265" s="31">
        <v>379</v>
      </c>
      <c r="I265" s="31">
        <v>51611</v>
      </c>
      <c r="J265" s="31">
        <v>45880</v>
      </c>
      <c r="K265" s="31">
        <v>176</v>
      </c>
      <c r="L265" s="31" t="s">
        <v>41</v>
      </c>
      <c r="M265" s="31"/>
      <c r="N265" s="33">
        <f>(Table1[[#This Row],[Likes]]+Table1[[#This Row],[Shares]]+Table1[[#This Row],[Comments]])/Table1[[#This Row],[Impressions]]</f>
        <v>4.5610431884675749E-2</v>
      </c>
      <c r="O265" s="31">
        <f>SUM(Table1[[#This Row],[Likes]:[Comments]])</f>
        <v>2354</v>
      </c>
    </row>
    <row r="266" spans="1:15" ht="15.75" customHeight="1">
      <c r="A266" s="31" t="s">
        <v>235</v>
      </c>
      <c r="B266" s="31" t="s">
        <v>23</v>
      </c>
      <c r="C266" s="32">
        <v>45369</v>
      </c>
      <c r="D266" s="31" t="s">
        <v>15</v>
      </c>
      <c r="E266" s="31" t="s">
        <v>25</v>
      </c>
      <c r="F266" s="31">
        <v>2033</v>
      </c>
      <c r="G266" s="31">
        <v>420</v>
      </c>
      <c r="H266" s="31">
        <v>94</v>
      </c>
      <c r="I266" s="31">
        <v>56290</v>
      </c>
      <c r="J266" s="31">
        <v>57391</v>
      </c>
      <c r="K266" s="31">
        <v>196</v>
      </c>
      <c r="L266" s="31" t="s">
        <v>38</v>
      </c>
      <c r="M266" s="31"/>
      <c r="N266" s="33">
        <f>(Table1[[#This Row],[Likes]]+Table1[[#This Row],[Shares]]+Table1[[#This Row],[Comments]])/Table1[[#This Row],[Impressions]]</f>
        <v>4.5247823769763724E-2</v>
      </c>
      <c r="O266" s="31">
        <f>SUM(Table1[[#This Row],[Likes]:[Comments]])</f>
        <v>2547</v>
      </c>
    </row>
    <row r="267" spans="1:15" ht="15.75" customHeight="1">
      <c r="A267" s="31" t="s">
        <v>328</v>
      </c>
      <c r="B267" s="31" t="s">
        <v>29</v>
      </c>
      <c r="C267" s="32">
        <v>45765</v>
      </c>
      <c r="D267" s="31" t="s">
        <v>53</v>
      </c>
      <c r="E267" s="31" t="s">
        <v>47</v>
      </c>
      <c r="F267" s="31">
        <v>1265</v>
      </c>
      <c r="G267" s="31">
        <v>230</v>
      </c>
      <c r="H267" s="31">
        <v>364</v>
      </c>
      <c r="I267" s="31">
        <v>41312</v>
      </c>
      <c r="J267" s="31">
        <v>50382</v>
      </c>
      <c r="K267" s="31">
        <v>106</v>
      </c>
      <c r="L267" s="31" t="s">
        <v>20</v>
      </c>
      <c r="M267" s="31" t="s">
        <v>41</v>
      </c>
      <c r="N267" s="33">
        <f>(Table1[[#This Row],[Likes]]+Table1[[#This Row],[Shares]]+Table1[[#This Row],[Comments]])/Table1[[#This Row],[Impressions]]</f>
        <v>4.4999031758326875E-2</v>
      </c>
      <c r="O267" s="31">
        <f>SUM(Table1[[#This Row],[Likes]:[Comments]])</f>
        <v>1859</v>
      </c>
    </row>
    <row r="268" spans="1:15" ht="15.75" customHeight="1">
      <c r="A268" s="31" t="s">
        <v>121</v>
      </c>
      <c r="B268" s="31" t="s">
        <v>23</v>
      </c>
      <c r="C268" s="32">
        <v>45791</v>
      </c>
      <c r="D268" s="31" t="s">
        <v>24</v>
      </c>
      <c r="E268" s="31" t="s">
        <v>27</v>
      </c>
      <c r="F268" s="31">
        <v>1371</v>
      </c>
      <c r="G268" s="31">
        <v>139</v>
      </c>
      <c r="H268" s="31">
        <v>96</v>
      </c>
      <c r="I268" s="31">
        <v>36140</v>
      </c>
      <c r="J268" s="31">
        <v>39395</v>
      </c>
      <c r="K268" s="31">
        <v>169</v>
      </c>
      <c r="L268" s="31" t="s">
        <v>41</v>
      </c>
      <c r="M268" s="31" t="s">
        <v>38</v>
      </c>
      <c r="N268" s="33">
        <f>(Table1[[#This Row],[Likes]]+Table1[[#This Row],[Shares]]+Table1[[#This Row],[Comments]])/Table1[[#This Row],[Impressions]]</f>
        <v>4.4438295517432211E-2</v>
      </c>
      <c r="O268" s="31">
        <f>SUM(Table1[[#This Row],[Likes]:[Comments]])</f>
        <v>1606</v>
      </c>
    </row>
    <row r="269" spans="1:15" ht="15.75" customHeight="1">
      <c r="A269" s="31" t="s">
        <v>69</v>
      </c>
      <c r="B269" s="31" t="s">
        <v>14</v>
      </c>
      <c r="C269" s="32">
        <v>45666</v>
      </c>
      <c r="D269" s="31" t="s">
        <v>15</v>
      </c>
      <c r="E269" s="31" t="s">
        <v>25</v>
      </c>
      <c r="F269" s="31">
        <v>1015</v>
      </c>
      <c r="G269" s="31">
        <v>366</v>
      </c>
      <c r="H269" s="31">
        <v>308</v>
      </c>
      <c r="I269" s="31">
        <v>38127</v>
      </c>
      <c r="J269" s="31">
        <v>63790</v>
      </c>
      <c r="K269" s="31">
        <v>287</v>
      </c>
      <c r="L269" s="31" t="s">
        <v>41</v>
      </c>
      <c r="M269" s="31" t="s">
        <v>38</v>
      </c>
      <c r="N269" s="33">
        <f>(Table1[[#This Row],[Likes]]+Table1[[#This Row],[Shares]]+Table1[[#This Row],[Comments]])/Table1[[#This Row],[Impressions]]</f>
        <v>4.4299315445747112E-2</v>
      </c>
      <c r="O269" s="31">
        <f>SUM(Table1[[#This Row],[Likes]:[Comments]])</f>
        <v>1689</v>
      </c>
    </row>
    <row r="270" spans="1:15" ht="15.75" customHeight="1">
      <c r="A270" s="31" t="s">
        <v>286</v>
      </c>
      <c r="B270" s="31" t="s">
        <v>23</v>
      </c>
      <c r="C270" s="32">
        <v>45480</v>
      </c>
      <c r="D270" s="31" t="s">
        <v>15</v>
      </c>
      <c r="E270" s="31" t="s">
        <v>32</v>
      </c>
      <c r="F270" s="31">
        <v>1848</v>
      </c>
      <c r="G270" s="31">
        <v>417</v>
      </c>
      <c r="H270" s="31">
        <v>294</v>
      </c>
      <c r="I270" s="31">
        <v>57819</v>
      </c>
      <c r="J270" s="31">
        <v>19798</v>
      </c>
      <c r="K270" s="31">
        <v>262</v>
      </c>
      <c r="L270" s="31" t="s">
        <v>41</v>
      </c>
      <c r="M270" s="31"/>
      <c r="N270" s="33">
        <f>(Table1[[#This Row],[Likes]]+Table1[[#This Row],[Shares]]+Table1[[#This Row],[Comments]])/Table1[[#This Row],[Impressions]]</f>
        <v>4.4258807658382193E-2</v>
      </c>
      <c r="O270" s="31">
        <f>SUM(Table1[[#This Row],[Likes]:[Comments]])</f>
        <v>2559</v>
      </c>
    </row>
    <row r="271" spans="1:15" ht="15.75" customHeight="1">
      <c r="A271" s="31" t="s">
        <v>97</v>
      </c>
      <c r="B271" s="31" t="s">
        <v>23</v>
      </c>
      <c r="C271" s="32">
        <v>45599</v>
      </c>
      <c r="D271" s="31" t="s">
        <v>24</v>
      </c>
      <c r="E271" s="31" t="s">
        <v>27</v>
      </c>
      <c r="F271" s="31">
        <v>1959</v>
      </c>
      <c r="G271" s="31">
        <v>316</v>
      </c>
      <c r="H271" s="31">
        <v>82</v>
      </c>
      <c r="I271" s="31">
        <v>54036</v>
      </c>
      <c r="J271" s="31">
        <v>69015</v>
      </c>
      <c r="K271" s="31">
        <v>182</v>
      </c>
      <c r="L271" s="31" t="s">
        <v>368</v>
      </c>
      <c r="M271" s="31" t="s">
        <v>38</v>
      </c>
      <c r="N271" s="33">
        <f>(Table1[[#This Row],[Likes]]+Table1[[#This Row],[Shares]]+Table1[[#This Row],[Comments]])/Table1[[#This Row],[Impressions]]</f>
        <v>4.3619068768968837E-2</v>
      </c>
      <c r="O271" s="31">
        <f>SUM(Table1[[#This Row],[Likes]:[Comments]])</f>
        <v>2357</v>
      </c>
    </row>
    <row r="272" spans="1:15" ht="15.75" customHeight="1">
      <c r="A272" s="31" t="s">
        <v>56</v>
      </c>
      <c r="B272" s="31" t="s">
        <v>14</v>
      </c>
      <c r="C272" s="32">
        <v>45603</v>
      </c>
      <c r="D272" s="31" t="s">
        <v>24</v>
      </c>
      <c r="E272" s="31" t="s">
        <v>27</v>
      </c>
      <c r="F272" s="31">
        <v>1678</v>
      </c>
      <c r="G272" s="31">
        <v>423</v>
      </c>
      <c r="H272" s="31">
        <v>323</v>
      </c>
      <c r="I272" s="31">
        <v>55668</v>
      </c>
      <c r="J272" s="31">
        <v>37945</v>
      </c>
      <c r="K272" s="31">
        <v>230</v>
      </c>
      <c r="L272" s="31" t="s">
        <v>38</v>
      </c>
      <c r="M272" s="31"/>
      <c r="N272" s="33">
        <f>(Table1[[#This Row],[Likes]]+Table1[[#This Row],[Shares]]+Table1[[#This Row],[Comments]])/Table1[[#This Row],[Impressions]]</f>
        <v>4.3543867212761371E-2</v>
      </c>
      <c r="O272" s="31">
        <f>SUM(Table1[[#This Row],[Likes]:[Comments]])</f>
        <v>2424</v>
      </c>
    </row>
    <row r="273" spans="1:15" ht="15.75" customHeight="1">
      <c r="A273" s="31" t="s">
        <v>216</v>
      </c>
      <c r="B273" s="31" t="s">
        <v>23</v>
      </c>
      <c r="C273" s="32">
        <v>45370</v>
      </c>
      <c r="D273" s="31" t="s">
        <v>15</v>
      </c>
      <c r="E273" s="31" t="s">
        <v>45</v>
      </c>
      <c r="F273" s="31">
        <v>2191</v>
      </c>
      <c r="G273" s="31">
        <v>288</v>
      </c>
      <c r="H273" s="31">
        <v>83</v>
      </c>
      <c r="I273" s="31">
        <v>59606</v>
      </c>
      <c r="J273" s="31">
        <v>24765</v>
      </c>
      <c r="K273" s="31">
        <v>281</v>
      </c>
      <c r="L273" s="31" t="s">
        <v>41</v>
      </c>
      <c r="M273" s="31"/>
      <c r="N273" s="33">
        <f>(Table1[[#This Row],[Likes]]+Table1[[#This Row],[Shares]]+Table1[[#This Row],[Comments]])/Table1[[#This Row],[Impressions]]</f>
        <v>4.2982250109049422E-2</v>
      </c>
      <c r="O273" s="31">
        <f>SUM(Table1[[#This Row],[Likes]:[Comments]])</f>
        <v>2562</v>
      </c>
    </row>
    <row r="274" spans="1:15" ht="15.75" customHeight="1">
      <c r="A274" s="31" t="s">
        <v>153</v>
      </c>
      <c r="B274" s="31" t="s">
        <v>23</v>
      </c>
      <c r="C274" s="32">
        <v>45428</v>
      </c>
      <c r="D274" s="31" t="s">
        <v>24</v>
      </c>
      <c r="E274" s="31" t="s">
        <v>30</v>
      </c>
      <c r="F274" s="31">
        <v>2023</v>
      </c>
      <c r="G274" s="31">
        <v>124</v>
      </c>
      <c r="H274" s="31">
        <v>99</v>
      </c>
      <c r="I274" s="31">
        <v>54524</v>
      </c>
      <c r="J274" s="31">
        <v>34790</v>
      </c>
      <c r="K274" s="31">
        <v>195</v>
      </c>
      <c r="L274" s="31" t="s">
        <v>20</v>
      </c>
      <c r="M274" s="31" t="s">
        <v>368</v>
      </c>
      <c r="N274" s="33">
        <f>(Table1[[#This Row],[Likes]]+Table1[[#This Row],[Shares]]+Table1[[#This Row],[Comments]])/Table1[[#This Row],[Impressions]]</f>
        <v>4.1192869195216787E-2</v>
      </c>
      <c r="O274" s="31">
        <f>SUM(Table1[[#This Row],[Likes]:[Comments]])</f>
        <v>2246</v>
      </c>
    </row>
    <row r="275" spans="1:15" ht="15.75" customHeight="1">
      <c r="A275" s="31" t="s">
        <v>109</v>
      </c>
      <c r="B275" s="31" t="s">
        <v>23</v>
      </c>
      <c r="C275" s="32">
        <v>45431</v>
      </c>
      <c r="D275" s="31" t="s">
        <v>24</v>
      </c>
      <c r="E275" s="31" t="s">
        <v>34</v>
      </c>
      <c r="F275" s="31">
        <v>1763</v>
      </c>
      <c r="G275" s="31">
        <v>206</v>
      </c>
      <c r="H275" s="31">
        <v>187</v>
      </c>
      <c r="I275" s="31">
        <v>53342</v>
      </c>
      <c r="J275" s="31">
        <v>25095</v>
      </c>
      <c r="K275" s="31">
        <v>88</v>
      </c>
      <c r="L275" s="31" t="s">
        <v>20</v>
      </c>
      <c r="M275" s="31" t="s">
        <v>368</v>
      </c>
      <c r="N275" s="33">
        <f>(Table1[[#This Row],[Likes]]+Table1[[#This Row],[Shares]]+Table1[[#This Row],[Comments]])/Table1[[#This Row],[Impressions]]</f>
        <v>4.0418432004799221E-2</v>
      </c>
      <c r="O275" s="31">
        <f>SUM(Table1[[#This Row],[Likes]:[Comments]])</f>
        <v>2156</v>
      </c>
    </row>
    <row r="276" spans="1:15" ht="15.75" customHeight="1">
      <c r="A276" s="31" t="s">
        <v>247</v>
      </c>
      <c r="B276" s="31" t="s">
        <v>23</v>
      </c>
      <c r="C276" s="32">
        <v>45827</v>
      </c>
      <c r="D276" s="31" t="s">
        <v>24</v>
      </c>
      <c r="E276" s="31" t="s">
        <v>32</v>
      </c>
      <c r="F276" s="31">
        <v>1433</v>
      </c>
      <c r="G276" s="31">
        <v>452</v>
      </c>
      <c r="H276" s="31">
        <v>305</v>
      </c>
      <c r="I276" s="31">
        <v>54541</v>
      </c>
      <c r="J276" s="31">
        <v>63700</v>
      </c>
      <c r="K276" s="31">
        <v>296</v>
      </c>
      <c r="L276" s="31" t="s">
        <v>20</v>
      </c>
      <c r="M276" s="31" t="s">
        <v>368</v>
      </c>
      <c r="N276" s="33">
        <f>(Table1[[#This Row],[Likes]]+Table1[[#This Row],[Shares]]+Table1[[#This Row],[Comments]])/Table1[[#This Row],[Impressions]]</f>
        <v>4.0153279184466734E-2</v>
      </c>
      <c r="O276" s="31">
        <f>SUM(Table1[[#This Row],[Likes]:[Comments]])</f>
        <v>2190</v>
      </c>
    </row>
    <row r="277" spans="1:15" ht="15.75" customHeight="1">
      <c r="A277" s="31" t="s">
        <v>79</v>
      </c>
      <c r="B277" s="31" t="s">
        <v>14</v>
      </c>
      <c r="C277" s="32">
        <v>45541</v>
      </c>
      <c r="D277" s="31" t="s">
        <v>15</v>
      </c>
      <c r="E277" s="31" t="s">
        <v>25</v>
      </c>
      <c r="F277" s="31">
        <v>1452</v>
      </c>
      <c r="G277" s="31">
        <v>281</v>
      </c>
      <c r="H277" s="31">
        <v>326</v>
      </c>
      <c r="I277" s="31">
        <v>51556</v>
      </c>
      <c r="J277" s="31">
        <v>62599</v>
      </c>
      <c r="K277" s="31">
        <v>290</v>
      </c>
      <c r="L277" s="31" t="s">
        <v>20</v>
      </c>
      <c r="M277" s="31"/>
      <c r="N277" s="33">
        <f>(Table1[[#This Row],[Likes]]+Table1[[#This Row],[Shares]]+Table1[[#This Row],[Comments]])/Table1[[#This Row],[Impressions]]</f>
        <v>3.9937155714174881E-2</v>
      </c>
      <c r="O277" s="31">
        <f>SUM(Table1[[#This Row],[Likes]:[Comments]])</f>
        <v>2059</v>
      </c>
    </row>
    <row r="278" spans="1:15" ht="15.75" customHeight="1">
      <c r="A278" s="31" t="s">
        <v>74</v>
      </c>
      <c r="B278" s="31" t="s">
        <v>14</v>
      </c>
      <c r="C278" s="32">
        <v>45621</v>
      </c>
      <c r="D278" s="31" t="s">
        <v>15</v>
      </c>
      <c r="E278" s="31" t="s">
        <v>45</v>
      </c>
      <c r="F278" s="31">
        <v>1341</v>
      </c>
      <c r="G278" s="31">
        <v>472</v>
      </c>
      <c r="H278" s="31">
        <v>238</v>
      </c>
      <c r="I278" s="31">
        <v>51386</v>
      </c>
      <c r="J278" s="31">
        <v>51706</v>
      </c>
      <c r="K278" s="31">
        <v>133</v>
      </c>
      <c r="L278" s="31" t="s">
        <v>20</v>
      </c>
      <c r="M278" s="31"/>
      <c r="N278" s="33">
        <f>(Table1[[#This Row],[Likes]]+Table1[[#This Row],[Shares]]+Table1[[#This Row],[Comments]])/Table1[[#This Row],[Impressions]]</f>
        <v>3.9913595142645857E-2</v>
      </c>
      <c r="O278" s="31">
        <f>SUM(Table1[[#This Row],[Likes]:[Comments]])</f>
        <v>2051</v>
      </c>
    </row>
    <row r="279" spans="1:15" ht="15.75" customHeight="1">
      <c r="A279" s="31" t="s">
        <v>148</v>
      </c>
      <c r="B279" s="31" t="s">
        <v>14</v>
      </c>
      <c r="C279" s="32">
        <v>45544</v>
      </c>
      <c r="D279" s="31" t="s">
        <v>15</v>
      </c>
      <c r="E279" s="31" t="s">
        <v>25</v>
      </c>
      <c r="F279" s="31">
        <v>1616</v>
      </c>
      <c r="G279" s="31">
        <v>360</v>
      </c>
      <c r="H279" s="31">
        <v>180</v>
      </c>
      <c r="I279" s="31">
        <v>54342</v>
      </c>
      <c r="J279" s="31">
        <v>18796</v>
      </c>
      <c r="K279" s="31">
        <v>282</v>
      </c>
      <c r="L279" s="31" t="s">
        <v>41</v>
      </c>
      <c r="M279" s="31" t="s">
        <v>38</v>
      </c>
      <c r="N279" s="33">
        <f>(Table1[[#This Row],[Likes]]+Table1[[#This Row],[Shares]]+Table1[[#This Row],[Comments]])/Table1[[#This Row],[Impressions]]</f>
        <v>3.9674653122814763E-2</v>
      </c>
      <c r="O279" s="31">
        <f>SUM(Table1[[#This Row],[Likes]:[Comments]])</f>
        <v>2156</v>
      </c>
    </row>
    <row r="280" spans="1:15" ht="15.75" customHeight="1">
      <c r="A280" s="31" t="s">
        <v>243</v>
      </c>
      <c r="B280" s="31" t="s">
        <v>23</v>
      </c>
      <c r="C280" s="32">
        <v>45754</v>
      </c>
      <c r="D280" s="31" t="s">
        <v>15</v>
      </c>
      <c r="E280" s="31" t="s">
        <v>45</v>
      </c>
      <c r="F280" s="31">
        <v>1403</v>
      </c>
      <c r="G280" s="31">
        <v>385</v>
      </c>
      <c r="H280" s="31">
        <v>344</v>
      </c>
      <c r="I280" s="31">
        <v>54223</v>
      </c>
      <c r="J280" s="31">
        <v>72595</v>
      </c>
      <c r="K280" s="31">
        <v>239</v>
      </c>
      <c r="L280" s="31" t="s">
        <v>41</v>
      </c>
      <c r="M280" s="31"/>
      <c r="N280" s="33">
        <f>(Table1[[#This Row],[Likes]]+Table1[[#This Row],[Shares]]+Table1[[#This Row],[Comments]])/Table1[[#This Row],[Impressions]]</f>
        <v>3.9319108127547353E-2</v>
      </c>
      <c r="O280" s="31">
        <f>SUM(Table1[[#This Row],[Likes]:[Comments]])</f>
        <v>2132</v>
      </c>
    </row>
    <row r="281" spans="1:15" ht="15.75" customHeight="1">
      <c r="A281" s="31" t="s">
        <v>73</v>
      </c>
      <c r="B281" s="31" t="s">
        <v>14</v>
      </c>
      <c r="C281" s="32">
        <v>45545</v>
      </c>
      <c r="D281" s="31" t="s">
        <v>24</v>
      </c>
      <c r="E281" s="31" t="s">
        <v>25</v>
      </c>
      <c r="F281" s="31">
        <v>1230</v>
      </c>
      <c r="G281" s="31">
        <v>309</v>
      </c>
      <c r="H281" s="31">
        <v>207</v>
      </c>
      <c r="I281" s="31">
        <v>44629</v>
      </c>
      <c r="J281" s="31">
        <v>40699</v>
      </c>
      <c r="K281" s="31">
        <v>195</v>
      </c>
      <c r="L281" s="31" t="s">
        <v>38</v>
      </c>
      <c r="M281" s="31"/>
      <c r="N281" s="33">
        <f>(Table1[[#This Row],[Likes]]+Table1[[#This Row],[Shares]]+Table1[[#This Row],[Comments]])/Table1[[#This Row],[Impressions]]</f>
        <v>3.9122543637545096E-2</v>
      </c>
      <c r="O281" s="31">
        <f>SUM(Table1[[#This Row],[Likes]:[Comments]])</f>
        <v>1746</v>
      </c>
    </row>
    <row r="282" spans="1:15" ht="15.75" customHeight="1">
      <c r="A282" s="31" t="s">
        <v>191</v>
      </c>
      <c r="B282" s="31" t="s">
        <v>29</v>
      </c>
      <c r="C282" s="32">
        <v>45538</v>
      </c>
      <c r="D282" s="31" t="s">
        <v>53</v>
      </c>
      <c r="E282" s="31" t="s">
        <v>32</v>
      </c>
      <c r="F282" s="31">
        <v>1437</v>
      </c>
      <c r="G282" s="31">
        <v>494</v>
      </c>
      <c r="H282" s="31">
        <v>129</v>
      </c>
      <c r="I282" s="31">
        <v>53048</v>
      </c>
      <c r="J282" s="31">
        <v>44090</v>
      </c>
      <c r="K282" s="31">
        <v>230</v>
      </c>
      <c r="L282" s="31" t="s">
        <v>20</v>
      </c>
      <c r="M282" s="31" t="s">
        <v>41</v>
      </c>
      <c r="N282" s="33">
        <f>(Table1[[#This Row],[Likes]]+Table1[[#This Row],[Shares]]+Table1[[#This Row],[Comments]])/Table1[[#This Row],[Impressions]]</f>
        <v>3.8832755240536872E-2</v>
      </c>
      <c r="O282" s="31">
        <f>SUM(Table1[[#This Row],[Likes]:[Comments]])</f>
        <v>2060</v>
      </c>
    </row>
    <row r="283" spans="1:15" ht="15.75" customHeight="1">
      <c r="A283" s="31" t="s">
        <v>98</v>
      </c>
      <c r="B283" s="31" t="s">
        <v>23</v>
      </c>
      <c r="C283" s="32">
        <v>45480</v>
      </c>
      <c r="D283" s="31" t="s">
        <v>15</v>
      </c>
      <c r="E283" s="31" t="s">
        <v>25</v>
      </c>
      <c r="F283" s="31">
        <v>1035</v>
      </c>
      <c r="G283" s="31">
        <v>137</v>
      </c>
      <c r="H283" s="31">
        <v>184</v>
      </c>
      <c r="I283" s="31">
        <v>37302</v>
      </c>
      <c r="J283" s="31">
        <v>68953</v>
      </c>
      <c r="K283" s="31">
        <v>237</v>
      </c>
      <c r="L283" s="31" t="s">
        <v>41</v>
      </c>
      <c r="M283" s="31"/>
      <c r="N283" s="33">
        <f>(Table1[[#This Row],[Likes]]+Table1[[#This Row],[Shares]]+Table1[[#This Row],[Comments]])/Table1[[#This Row],[Impressions]]</f>
        <v>3.6351938233874857E-2</v>
      </c>
      <c r="O283" s="31">
        <f>SUM(Table1[[#This Row],[Likes]:[Comments]])</f>
        <v>1356</v>
      </c>
    </row>
    <row r="284" spans="1:15" ht="15.75" customHeight="1">
      <c r="A284" s="31" t="s">
        <v>157</v>
      </c>
      <c r="B284" s="31" t="s">
        <v>23</v>
      </c>
      <c r="C284" s="32">
        <v>45346</v>
      </c>
      <c r="D284" s="31" t="s">
        <v>24</v>
      </c>
      <c r="E284" s="31" t="s">
        <v>30</v>
      </c>
      <c r="F284" s="31">
        <v>1022</v>
      </c>
      <c r="G284" s="31">
        <v>463</v>
      </c>
      <c r="H284" s="31">
        <v>360</v>
      </c>
      <c r="I284" s="31">
        <v>51468</v>
      </c>
      <c r="J284" s="31">
        <v>24279</v>
      </c>
      <c r="K284" s="31">
        <v>230</v>
      </c>
      <c r="L284" s="31" t="s">
        <v>20</v>
      </c>
      <c r="M284" s="31" t="s">
        <v>368</v>
      </c>
      <c r="N284" s="33">
        <f>(Table1[[#This Row],[Likes]]+Table1[[#This Row],[Shares]]+Table1[[#This Row],[Comments]])/Table1[[#This Row],[Impressions]]</f>
        <v>3.5847516903707161E-2</v>
      </c>
      <c r="O284" s="31">
        <f>SUM(Table1[[#This Row],[Likes]:[Comments]])</f>
        <v>1845</v>
      </c>
    </row>
    <row r="285" spans="1:15" ht="15.75" customHeight="1">
      <c r="A285" s="31" t="s">
        <v>232</v>
      </c>
      <c r="B285" s="31" t="s">
        <v>29</v>
      </c>
      <c r="C285" s="32">
        <v>45634</v>
      </c>
      <c r="D285" s="31" t="s">
        <v>15</v>
      </c>
      <c r="E285" s="31" t="s">
        <v>37</v>
      </c>
      <c r="F285" s="31">
        <v>1424</v>
      </c>
      <c r="G285" s="31">
        <v>396</v>
      </c>
      <c r="H285" s="31">
        <v>312</v>
      </c>
      <c r="I285" s="31">
        <v>59517</v>
      </c>
      <c r="J285" s="31">
        <v>46102</v>
      </c>
      <c r="K285" s="31">
        <v>239</v>
      </c>
      <c r="L285" s="31" t="s">
        <v>20</v>
      </c>
      <c r="M285" s="31" t="s">
        <v>369</v>
      </c>
      <c r="N285" s="33">
        <f>(Table1[[#This Row],[Likes]]+Table1[[#This Row],[Shares]]+Table1[[#This Row],[Comments]])/Table1[[#This Row],[Impressions]]</f>
        <v>3.5821698002251455E-2</v>
      </c>
      <c r="O285" s="31">
        <f>SUM(Table1[[#This Row],[Likes]:[Comments]])</f>
        <v>2132</v>
      </c>
    </row>
    <row r="286" spans="1:15" ht="15.75" customHeight="1">
      <c r="A286" s="31" t="s">
        <v>100</v>
      </c>
      <c r="B286" s="31" t="s">
        <v>29</v>
      </c>
      <c r="C286" s="32">
        <v>45438</v>
      </c>
      <c r="D286" s="31" t="s">
        <v>15</v>
      </c>
      <c r="E286" s="31" t="s">
        <v>45</v>
      </c>
      <c r="F286" s="31">
        <v>1488</v>
      </c>
      <c r="G286" s="31">
        <v>327</v>
      </c>
      <c r="H286" s="31">
        <v>110</v>
      </c>
      <c r="I286" s="31">
        <v>53805</v>
      </c>
      <c r="J286" s="31">
        <v>30239</v>
      </c>
      <c r="K286" s="31">
        <v>109</v>
      </c>
      <c r="L286" s="31" t="s">
        <v>20</v>
      </c>
      <c r="M286" s="31" t="s">
        <v>369</v>
      </c>
      <c r="N286" s="33">
        <f>(Table1[[#This Row],[Likes]]+Table1[[#This Row],[Shares]]+Table1[[#This Row],[Comments]])/Table1[[#This Row],[Impressions]]</f>
        <v>3.5777344113000653E-2</v>
      </c>
      <c r="O286" s="31">
        <f>SUM(Table1[[#This Row],[Likes]:[Comments]])</f>
        <v>1925</v>
      </c>
    </row>
    <row r="287" spans="1:15" ht="15.75" customHeight="1">
      <c r="A287" s="31" t="s">
        <v>199</v>
      </c>
      <c r="B287" s="31" t="s">
        <v>14</v>
      </c>
      <c r="C287" s="32">
        <v>45835</v>
      </c>
      <c r="D287" s="31" t="s">
        <v>24</v>
      </c>
      <c r="E287" s="31" t="s">
        <v>32</v>
      </c>
      <c r="F287" s="31">
        <v>1342</v>
      </c>
      <c r="G287" s="31">
        <v>332</v>
      </c>
      <c r="H287" s="31">
        <v>163</v>
      </c>
      <c r="I287" s="31">
        <v>51712</v>
      </c>
      <c r="J287" s="31">
        <v>57922</v>
      </c>
      <c r="K287" s="31">
        <v>168</v>
      </c>
      <c r="L287" s="31" t="s">
        <v>38</v>
      </c>
      <c r="M287" s="31"/>
      <c r="N287" s="33">
        <f>(Table1[[#This Row],[Likes]]+Table1[[#This Row],[Shares]]+Table1[[#This Row],[Comments]])/Table1[[#This Row],[Impressions]]</f>
        <v>3.5523669554455448E-2</v>
      </c>
      <c r="O287" s="31">
        <f>SUM(Table1[[#This Row],[Likes]:[Comments]])</f>
        <v>1837</v>
      </c>
    </row>
    <row r="288" spans="1:15" ht="15.75" customHeight="1">
      <c r="A288" s="31" t="s">
        <v>233</v>
      </c>
      <c r="B288" s="31" t="s">
        <v>23</v>
      </c>
      <c r="C288" s="32">
        <v>45689</v>
      </c>
      <c r="D288" s="31" t="s">
        <v>24</v>
      </c>
      <c r="E288" s="31" t="s">
        <v>37</v>
      </c>
      <c r="F288" s="31">
        <v>1079</v>
      </c>
      <c r="G288" s="31">
        <v>265</v>
      </c>
      <c r="H288" s="31">
        <v>190</v>
      </c>
      <c r="I288" s="31">
        <v>43786</v>
      </c>
      <c r="J288" s="31">
        <v>72428</v>
      </c>
      <c r="K288" s="31">
        <v>222</v>
      </c>
      <c r="L288" s="31" t="s">
        <v>41</v>
      </c>
      <c r="M288" s="31" t="s">
        <v>38</v>
      </c>
      <c r="N288" s="33">
        <f>(Table1[[#This Row],[Likes]]+Table1[[#This Row],[Shares]]+Table1[[#This Row],[Comments]])/Table1[[#This Row],[Impressions]]</f>
        <v>3.5034029141734799E-2</v>
      </c>
      <c r="O288" s="31">
        <f>SUM(Table1[[#This Row],[Likes]:[Comments]])</f>
        <v>1534</v>
      </c>
    </row>
    <row r="289" spans="1:15" ht="15.75" customHeight="1">
      <c r="A289" s="31" t="s">
        <v>152</v>
      </c>
      <c r="B289" s="31" t="s">
        <v>14</v>
      </c>
      <c r="C289" s="32">
        <v>45340</v>
      </c>
      <c r="D289" s="31" t="s">
        <v>24</v>
      </c>
      <c r="E289" s="31" t="s">
        <v>45</v>
      </c>
      <c r="F289" s="31">
        <v>1516</v>
      </c>
      <c r="G289" s="31">
        <v>215</v>
      </c>
      <c r="H289" s="31">
        <v>332</v>
      </c>
      <c r="I289" s="31">
        <v>58981</v>
      </c>
      <c r="J289" s="31">
        <v>36118</v>
      </c>
      <c r="K289" s="31">
        <v>211</v>
      </c>
      <c r="L289" s="31" t="s">
        <v>38</v>
      </c>
      <c r="M289" s="31"/>
      <c r="N289" s="33">
        <f>(Table1[[#This Row],[Likes]]+Table1[[#This Row],[Shares]]+Table1[[#This Row],[Comments]])/Table1[[#This Row],[Impressions]]</f>
        <v>3.4977365592309385E-2</v>
      </c>
      <c r="O289" s="31">
        <f>SUM(Table1[[#This Row],[Likes]:[Comments]])</f>
        <v>2063</v>
      </c>
    </row>
    <row r="290" spans="1:15" ht="15.75" customHeight="1">
      <c r="A290" s="31" t="s">
        <v>162</v>
      </c>
      <c r="B290" s="31" t="s">
        <v>23</v>
      </c>
      <c r="C290" s="32">
        <v>45319</v>
      </c>
      <c r="D290" s="31" t="s">
        <v>15</v>
      </c>
      <c r="E290" s="31" t="s">
        <v>30</v>
      </c>
      <c r="F290" s="31">
        <v>1456</v>
      </c>
      <c r="G290" s="31">
        <v>265</v>
      </c>
      <c r="H290" s="31">
        <v>137</v>
      </c>
      <c r="I290" s="31">
        <v>53485</v>
      </c>
      <c r="J290" s="31">
        <v>59729</v>
      </c>
      <c r="K290" s="31">
        <v>145</v>
      </c>
      <c r="L290" s="31" t="s">
        <v>41</v>
      </c>
      <c r="M290" s="31"/>
      <c r="N290" s="33">
        <f>(Table1[[#This Row],[Likes]]+Table1[[#This Row],[Shares]]+Table1[[#This Row],[Comments]])/Table1[[#This Row],[Impressions]]</f>
        <v>3.4738711788351875E-2</v>
      </c>
      <c r="O290" s="31">
        <f>SUM(Table1[[#This Row],[Likes]:[Comments]])</f>
        <v>1858</v>
      </c>
    </row>
    <row r="291" spans="1:15" ht="15.75" customHeight="1">
      <c r="A291" s="31" t="s">
        <v>320</v>
      </c>
      <c r="B291" s="31" t="s">
        <v>29</v>
      </c>
      <c r="C291" s="32">
        <v>45686</v>
      </c>
      <c r="D291" s="31" t="s">
        <v>15</v>
      </c>
      <c r="E291" s="31" t="s">
        <v>25</v>
      </c>
      <c r="F291" s="31">
        <v>1334</v>
      </c>
      <c r="G291" s="31">
        <v>357</v>
      </c>
      <c r="H291" s="31">
        <v>257</v>
      </c>
      <c r="I291" s="31">
        <v>56910</v>
      </c>
      <c r="J291" s="31">
        <v>70606</v>
      </c>
      <c r="K291" s="31">
        <v>228</v>
      </c>
      <c r="L291" s="31" t="s">
        <v>20</v>
      </c>
      <c r="M291" s="31" t="s">
        <v>369</v>
      </c>
      <c r="N291" s="33">
        <f>(Table1[[#This Row],[Likes]]+Table1[[#This Row],[Shares]]+Table1[[#This Row],[Comments]])/Table1[[#This Row],[Impressions]]</f>
        <v>3.4229485151994379E-2</v>
      </c>
      <c r="O291" s="31">
        <f>SUM(Table1[[#This Row],[Likes]:[Comments]])</f>
        <v>1948</v>
      </c>
    </row>
    <row r="292" spans="1:15" ht="15.75" customHeight="1">
      <c r="A292" s="31" t="s">
        <v>245</v>
      </c>
      <c r="B292" s="31" t="s">
        <v>23</v>
      </c>
      <c r="C292" s="32">
        <v>45780</v>
      </c>
      <c r="D292" s="31" t="s">
        <v>24</v>
      </c>
      <c r="E292" s="31" t="s">
        <v>37</v>
      </c>
      <c r="F292" s="31">
        <v>1010</v>
      </c>
      <c r="G292" s="31">
        <v>361</v>
      </c>
      <c r="H292" s="31">
        <v>240</v>
      </c>
      <c r="I292" s="31">
        <v>47229</v>
      </c>
      <c r="J292" s="31">
        <v>72573</v>
      </c>
      <c r="K292" s="31">
        <v>275</v>
      </c>
      <c r="L292" s="31" t="s">
        <v>41</v>
      </c>
      <c r="M292" s="31" t="s">
        <v>38</v>
      </c>
      <c r="N292" s="33">
        <f>(Table1[[#This Row],[Likes]]+Table1[[#This Row],[Shares]]+Table1[[#This Row],[Comments]])/Table1[[#This Row],[Impressions]]</f>
        <v>3.4110398272247981E-2</v>
      </c>
      <c r="O292" s="31">
        <f>SUM(Table1[[#This Row],[Likes]:[Comments]])</f>
        <v>1611</v>
      </c>
    </row>
    <row r="293" spans="1:15" ht="15.75" customHeight="1">
      <c r="A293" s="31" t="s">
        <v>293</v>
      </c>
      <c r="B293" s="31" t="s">
        <v>29</v>
      </c>
      <c r="C293" s="32">
        <v>45736</v>
      </c>
      <c r="D293" s="31" t="s">
        <v>53</v>
      </c>
      <c r="E293" s="31" t="s">
        <v>45</v>
      </c>
      <c r="F293" s="31">
        <v>1453</v>
      </c>
      <c r="G293" s="31">
        <v>156</v>
      </c>
      <c r="H293" s="31">
        <v>178</v>
      </c>
      <c r="I293" s="31">
        <v>52980</v>
      </c>
      <c r="J293" s="31">
        <v>57180</v>
      </c>
      <c r="K293" s="31">
        <v>286</v>
      </c>
      <c r="L293" s="31" t="s">
        <v>20</v>
      </c>
      <c r="M293" s="31" t="s">
        <v>41</v>
      </c>
      <c r="N293" s="33">
        <f>(Table1[[#This Row],[Likes]]+Table1[[#This Row],[Shares]]+Table1[[#This Row],[Comments]])/Table1[[#This Row],[Impressions]]</f>
        <v>3.3729709324273313E-2</v>
      </c>
      <c r="O293" s="31">
        <f>SUM(Table1[[#This Row],[Likes]:[Comments]])</f>
        <v>1787</v>
      </c>
    </row>
    <row r="294" spans="1:15" ht="15.75" customHeight="1">
      <c r="A294" s="31" t="s">
        <v>305</v>
      </c>
      <c r="B294" s="31" t="s">
        <v>23</v>
      </c>
      <c r="C294" s="32">
        <v>45609</v>
      </c>
      <c r="D294" s="31" t="s">
        <v>24</v>
      </c>
      <c r="E294" s="31" t="s">
        <v>25</v>
      </c>
      <c r="F294" s="31">
        <v>1409</v>
      </c>
      <c r="G294" s="31">
        <v>466</v>
      </c>
      <c r="H294" s="31">
        <v>105</v>
      </c>
      <c r="I294" s="31">
        <v>58923</v>
      </c>
      <c r="J294" s="31">
        <v>38753</v>
      </c>
      <c r="K294" s="31">
        <v>265</v>
      </c>
      <c r="L294" s="31" t="s">
        <v>20</v>
      </c>
      <c r="M294" s="31" t="s">
        <v>368</v>
      </c>
      <c r="N294" s="33">
        <f>(Table1[[#This Row],[Likes]]+Table1[[#This Row],[Shares]]+Table1[[#This Row],[Comments]])/Table1[[#This Row],[Impressions]]</f>
        <v>3.3603177027646251E-2</v>
      </c>
      <c r="O294" s="31">
        <f>SUM(Table1[[#This Row],[Likes]:[Comments]])</f>
        <v>1980</v>
      </c>
    </row>
    <row r="295" spans="1:15" ht="15.75" customHeight="1">
      <c r="A295" s="31" t="s">
        <v>329</v>
      </c>
      <c r="B295" s="31" t="s">
        <v>14</v>
      </c>
      <c r="C295" s="32">
        <v>45653</v>
      </c>
      <c r="D295" s="31" t="s">
        <v>15</v>
      </c>
      <c r="E295" s="31" t="s">
        <v>45</v>
      </c>
      <c r="F295" s="31">
        <v>1436</v>
      </c>
      <c r="G295" s="31">
        <v>219</v>
      </c>
      <c r="H295" s="31">
        <v>229</v>
      </c>
      <c r="I295" s="31">
        <v>58488</v>
      </c>
      <c r="J295" s="31">
        <v>24314</v>
      </c>
      <c r="K295" s="31">
        <v>147</v>
      </c>
      <c r="L295" s="31" t="s">
        <v>20</v>
      </c>
      <c r="M295" s="31"/>
      <c r="N295" s="33">
        <f>(Table1[[#This Row],[Likes]]+Table1[[#This Row],[Shares]]+Table1[[#This Row],[Comments]])/Table1[[#This Row],[Impressions]]</f>
        <v>3.221173574066475E-2</v>
      </c>
      <c r="O295" s="31">
        <f>SUM(Table1[[#This Row],[Likes]:[Comments]])</f>
        <v>1884</v>
      </c>
    </row>
    <row r="296" spans="1:15" ht="15.75" customHeight="1">
      <c r="A296" s="31" t="s">
        <v>263</v>
      </c>
      <c r="B296" s="31" t="s">
        <v>29</v>
      </c>
      <c r="C296" s="32">
        <v>45442</v>
      </c>
      <c r="D296" s="31" t="s">
        <v>53</v>
      </c>
      <c r="E296" s="31" t="s">
        <v>32</v>
      </c>
      <c r="F296" s="31">
        <v>1060</v>
      </c>
      <c r="G296" s="31">
        <v>442</v>
      </c>
      <c r="H296" s="31">
        <v>319</v>
      </c>
      <c r="I296" s="31">
        <v>57194</v>
      </c>
      <c r="J296" s="31">
        <v>24258</v>
      </c>
      <c r="K296" s="31">
        <v>101</v>
      </c>
      <c r="L296" s="31" t="s">
        <v>20</v>
      </c>
      <c r="M296" s="31" t="s">
        <v>41</v>
      </c>
      <c r="N296" s="33">
        <f>(Table1[[#This Row],[Likes]]+Table1[[#This Row],[Shares]]+Table1[[#This Row],[Comments]])/Table1[[#This Row],[Impressions]]</f>
        <v>3.1839004091338254E-2</v>
      </c>
      <c r="O296" s="31">
        <f>SUM(Table1[[#This Row],[Likes]:[Comments]])</f>
        <v>1821</v>
      </c>
    </row>
    <row r="297" spans="1:15" ht="15.75" customHeight="1">
      <c r="A297" s="31" t="s">
        <v>246</v>
      </c>
      <c r="B297" s="31" t="s">
        <v>23</v>
      </c>
      <c r="C297" s="32">
        <v>45396</v>
      </c>
      <c r="D297" s="31" t="s">
        <v>24</v>
      </c>
      <c r="E297" s="31" t="s">
        <v>16</v>
      </c>
      <c r="F297" s="31">
        <v>1295</v>
      </c>
      <c r="G297" s="31">
        <v>153</v>
      </c>
      <c r="H297" s="31">
        <v>81</v>
      </c>
      <c r="I297" s="31">
        <v>48350</v>
      </c>
      <c r="J297" s="31">
        <v>61033</v>
      </c>
      <c r="K297" s="31">
        <v>232</v>
      </c>
      <c r="L297" s="31" t="s">
        <v>20</v>
      </c>
      <c r="M297" s="31" t="s">
        <v>368</v>
      </c>
      <c r="N297" s="33">
        <f>(Table1[[#This Row],[Likes]]+Table1[[#This Row],[Shares]]+Table1[[#This Row],[Comments]])/Table1[[#This Row],[Impressions]]</f>
        <v>3.1623578076525334E-2</v>
      </c>
      <c r="O297" s="31">
        <f>SUM(Table1[[#This Row],[Likes]:[Comments]])</f>
        <v>1529</v>
      </c>
    </row>
    <row r="298" spans="1:15" ht="15.75" customHeight="1">
      <c r="A298" s="31" t="s">
        <v>258</v>
      </c>
      <c r="B298" s="31" t="s">
        <v>23</v>
      </c>
      <c r="C298" s="32">
        <v>45462</v>
      </c>
      <c r="D298" s="31" t="s">
        <v>15</v>
      </c>
      <c r="E298" s="31" t="s">
        <v>32</v>
      </c>
      <c r="F298" s="31">
        <v>1224</v>
      </c>
      <c r="G298" s="31">
        <v>168</v>
      </c>
      <c r="H298" s="31">
        <v>199</v>
      </c>
      <c r="I298" s="31">
        <v>54232</v>
      </c>
      <c r="J298" s="31">
        <v>52844</v>
      </c>
      <c r="K298" s="31">
        <v>271</v>
      </c>
      <c r="L298" s="31" t="s">
        <v>41</v>
      </c>
      <c r="M298" s="31"/>
      <c r="N298" s="33">
        <f>(Table1[[#This Row],[Likes]]+Table1[[#This Row],[Shares]]+Table1[[#This Row],[Comments]])/Table1[[#This Row],[Impressions]]</f>
        <v>2.9336922849977874E-2</v>
      </c>
      <c r="O298" s="31">
        <f>SUM(Table1[[#This Row],[Likes]:[Comments]])</f>
        <v>1591</v>
      </c>
    </row>
    <row r="299" spans="1:15" ht="15.75" customHeight="1">
      <c r="A299" s="31" t="s">
        <v>165</v>
      </c>
      <c r="B299" s="31" t="s">
        <v>29</v>
      </c>
      <c r="C299" s="32">
        <v>45301</v>
      </c>
      <c r="D299" s="31" t="s">
        <v>15</v>
      </c>
      <c r="E299" s="31" t="s">
        <v>19</v>
      </c>
      <c r="F299" s="31">
        <v>1261</v>
      </c>
      <c r="G299" s="31">
        <v>190</v>
      </c>
      <c r="H299" s="31">
        <v>233</v>
      </c>
      <c r="I299" s="31">
        <v>59888</v>
      </c>
      <c r="J299" s="31">
        <v>51449</v>
      </c>
      <c r="K299" s="31">
        <v>205</v>
      </c>
      <c r="L299" s="31" t="s">
        <v>20</v>
      </c>
      <c r="M299" s="31" t="s">
        <v>369</v>
      </c>
      <c r="N299" s="33">
        <f>(Table1[[#This Row],[Likes]]+Table1[[#This Row],[Shares]]+Table1[[#This Row],[Comments]])/Table1[[#This Row],[Impressions]]</f>
        <v>2.811915575741384E-2</v>
      </c>
      <c r="O299" s="31">
        <f>SUM(Table1[[#This Row],[Likes]:[Comments]])</f>
        <v>1684</v>
      </c>
    </row>
    <row r="300" spans="1:15" ht="15.75" customHeight="1">
      <c r="A300" s="31" t="s">
        <v>173</v>
      </c>
      <c r="B300" s="31" t="s">
        <v>23</v>
      </c>
      <c r="C300" s="32">
        <v>45624</v>
      </c>
      <c r="D300" s="31" t="s">
        <v>24</v>
      </c>
      <c r="E300" s="31" t="s">
        <v>25</v>
      </c>
      <c r="F300" s="31">
        <v>1131</v>
      </c>
      <c r="G300" s="31">
        <v>100</v>
      </c>
      <c r="H300" s="31">
        <v>116</v>
      </c>
      <c r="I300" s="31">
        <v>48437</v>
      </c>
      <c r="J300" s="31">
        <v>72704</v>
      </c>
      <c r="K300" s="31">
        <v>236</v>
      </c>
      <c r="L300" s="31" t="s">
        <v>20</v>
      </c>
      <c r="M300" s="31" t="s">
        <v>368</v>
      </c>
      <c r="N300" s="33">
        <f>(Table1[[#This Row],[Likes]]+Table1[[#This Row],[Shares]]+Table1[[#This Row],[Comments]])/Table1[[#This Row],[Impressions]]</f>
        <v>2.7809319322005904E-2</v>
      </c>
      <c r="O300" s="31">
        <f>SUM(Table1[[#This Row],[Likes]:[Comments]])</f>
        <v>1347</v>
      </c>
    </row>
    <row r="301" spans="1:15" ht="15.75" customHeight="1">
      <c r="A301" s="31" t="s">
        <v>94</v>
      </c>
      <c r="B301" s="31" t="s">
        <v>29</v>
      </c>
      <c r="C301" s="32">
        <v>45514</v>
      </c>
      <c r="D301" s="31" t="s">
        <v>15</v>
      </c>
      <c r="E301" s="31" t="s">
        <v>45</v>
      </c>
      <c r="F301" s="31">
        <v>1105</v>
      </c>
      <c r="G301" s="31">
        <v>181</v>
      </c>
      <c r="H301" s="31">
        <v>55</v>
      </c>
      <c r="I301" s="31">
        <v>53581</v>
      </c>
      <c r="J301" s="31">
        <v>74048</v>
      </c>
      <c r="K301" s="31">
        <v>220</v>
      </c>
      <c r="L301" s="31" t="s">
        <v>20</v>
      </c>
      <c r="M301" s="31" t="s">
        <v>369</v>
      </c>
      <c r="N301" s="33">
        <f>(Table1[[#This Row],[Likes]]+Table1[[#This Row],[Shares]]+Table1[[#This Row],[Comments]])/Table1[[#This Row],[Impressions]]</f>
        <v>2.50275284149232E-2</v>
      </c>
      <c r="O301" s="31">
        <f>SUM(Table1[[#This Row],[Likes]:[Comments]])</f>
        <v>1341</v>
      </c>
    </row>
    <row r="302" spans="1:15" ht="15.75" customHeight="1">
      <c r="A302" s="31"/>
      <c r="B302" s="31"/>
      <c r="C302" s="32"/>
      <c r="D302" s="31"/>
      <c r="E302" s="31"/>
      <c r="F302" s="31"/>
      <c r="G302" s="31"/>
      <c r="H302" s="31"/>
      <c r="I302" s="31"/>
      <c r="J302" s="31"/>
      <c r="K302" s="31"/>
      <c r="L302" s="31"/>
      <c r="M302" s="31"/>
      <c r="N302" s="33"/>
      <c r="O302" s="31"/>
    </row>
    <row r="303" spans="1:15" ht="15.75" customHeight="1">
      <c r="A303" s="31"/>
      <c r="B303" s="31"/>
      <c r="C303" s="32"/>
      <c r="D303" s="31"/>
      <c r="E303" s="31"/>
      <c r="F303" s="31"/>
      <c r="G303" s="31"/>
      <c r="H303" s="31"/>
      <c r="I303" s="31"/>
      <c r="J303" s="31"/>
      <c r="K303" s="31"/>
      <c r="L303" s="31"/>
      <c r="M303" s="31"/>
      <c r="N303" s="33"/>
      <c r="O303" s="31"/>
    </row>
    <row r="304" spans="1:15" ht="15.75" customHeight="1">
      <c r="A304" s="31"/>
      <c r="B304" s="31"/>
      <c r="C304" s="32"/>
      <c r="D304" s="31"/>
      <c r="E304" s="31"/>
      <c r="F304" s="31"/>
      <c r="G304" s="31"/>
      <c r="H304" s="31"/>
      <c r="I304" s="31"/>
      <c r="J304" s="31"/>
      <c r="K304" s="31"/>
      <c r="L304" s="31"/>
      <c r="M304" s="31"/>
      <c r="N304" s="33"/>
      <c r="O304" s="31"/>
    </row>
    <row r="305" spans="1:15" ht="15.75" customHeight="1">
      <c r="A305" s="31"/>
      <c r="B305" s="31"/>
      <c r="C305" s="32"/>
      <c r="D305" s="31"/>
      <c r="E305" s="31"/>
      <c r="F305" s="31"/>
      <c r="G305" s="31"/>
      <c r="H305" s="31"/>
      <c r="I305" s="31"/>
      <c r="J305" s="31"/>
      <c r="K305" s="31"/>
      <c r="L305" s="31"/>
      <c r="M305" s="31"/>
      <c r="N305" s="33"/>
      <c r="O305" s="31"/>
    </row>
    <row r="306" spans="1:15" ht="15.75" customHeight="1">
      <c r="A306" s="31"/>
      <c r="B306" s="31"/>
      <c r="C306" s="32"/>
      <c r="D306" s="31"/>
      <c r="E306" s="31"/>
      <c r="F306" s="31"/>
      <c r="G306" s="31"/>
      <c r="H306" s="31"/>
      <c r="I306" s="31"/>
      <c r="J306" s="31"/>
      <c r="K306" s="31"/>
      <c r="L306" s="31"/>
      <c r="M306" s="31"/>
      <c r="N306" s="33"/>
      <c r="O306" s="31"/>
    </row>
    <row r="307" spans="1:15" ht="15.75" customHeight="1">
      <c r="A307" s="31"/>
      <c r="B307" s="31"/>
      <c r="C307" s="32"/>
      <c r="D307" s="31"/>
      <c r="E307" s="31"/>
      <c r="F307" s="31"/>
      <c r="G307" s="31"/>
      <c r="H307" s="31"/>
      <c r="I307" s="31"/>
      <c r="J307" s="31"/>
      <c r="K307" s="31"/>
      <c r="L307" s="31"/>
      <c r="M307" s="31"/>
      <c r="N307" s="33"/>
      <c r="O307" s="31"/>
    </row>
    <row r="308" spans="1:15" ht="15.75" customHeight="1">
      <c r="A308" s="31"/>
      <c r="B308" s="31"/>
      <c r="C308" s="32"/>
      <c r="D308" s="31"/>
      <c r="E308" s="31"/>
      <c r="F308" s="31"/>
      <c r="G308" s="31"/>
      <c r="H308" s="31"/>
      <c r="I308" s="31"/>
      <c r="J308" s="31"/>
      <c r="K308" s="31"/>
      <c r="L308" s="31"/>
      <c r="M308" s="31"/>
      <c r="N308" s="33"/>
      <c r="O308" s="31"/>
    </row>
    <row r="309" spans="1:15" ht="15.75" customHeight="1">
      <c r="A309" s="31"/>
      <c r="B309" s="31"/>
      <c r="C309" s="32"/>
      <c r="D309" s="31"/>
      <c r="E309" s="31"/>
      <c r="F309" s="31"/>
      <c r="G309" s="31"/>
      <c r="H309" s="31"/>
      <c r="I309" s="31"/>
      <c r="J309" s="31"/>
      <c r="K309" s="31"/>
      <c r="L309" s="31"/>
      <c r="M309" s="31"/>
      <c r="N309" s="33"/>
      <c r="O309" s="31"/>
    </row>
    <row r="310" spans="1:15" ht="15.75" customHeight="1">
      <c r="A310" s="31"/>
      <c r="B310" s="31"/>
      <c r="C310" s="32"/>
      <c r="D310" s="31"/>
      <c r="E310" s="31"/>
      <c r="F310" s="31"/>
      <c r="G310" s="31"/>
      <c r="H310" s="31"/>
      <c r="I310" s="31"/>
      <c r="J310" s="31"/>
      <c r="K310" s="31"/>
      <c r="L310" s="31"/>
      <c r="M310" s="31"/>
      <c r="N310" s="33"/>
      <c r="O310" s="31"/>
    </row>
    <row r="311" spans="1:15" ht="15.75" customHeight="1">
      <c r="A311" s="31"/>
      <c r="B311" s="31"/>
      <c r="C311" s="32"/>
      <c r="D311" s="31"/>
      <c r="E311" s="31"/>
      <c r="F311" s="31"/>
      <c r="G311" s="31"/>
      <c r="H311" s="31"/>
      <c r="I311" s="31"/>
      <c r="J311" s="31"/>
      <c r="K311" s="31"/>
      <c r="L311" s="31"/>
      <c r="M311" s="31"/>
      <c r="N311" s="33"/>
      <c r="O311" s="31"/>
    </row>
    <row r="312" spans="1:15" ht="15.75" customHeight="1">
      <c r="A312" s="31"/>
      <c r="B312" s="31"/>
      <c r="C312" s="32"/>
      <c r="D312" s="31"/>
      <c r="E312" s="31"/>
      <c r="F312" s="31"/>
      <c r="G312" s="31"/>
      <c r="H312" s="31"/>
      <c r="I312" s="31"/>
      <c r="J312" s="31"/>
      <c r="K312" s="31"/>
      <c r="L312" s="31"/>
      <c r="M312" s="31"/>
      <c r="N312" s="33"/>
      <c r="O312" s="31"/>
    </row>
    <row r="313" spans="1:15" ht="15.75" customHeight="1">
      <c r="A313" s="31"/>
      <c r="B313" s="31"/>
      <c r="C313" s="32"/>
      <c r="D313" s="31"/>
      <c r="E313" s="31"/>
      <c r="F313" s="31"/>
      <c r="G313" s="31"/>
      <c r="H313" s="31"/>
      <c r="I313" s="31"/>
      <c r="J313" s="31"/>
      <c r="K313" s="31"/>
      <c r="L313" s="31"/>
      <c r="M313" s="31"/>
      <c r="N313" s="33"/>
      <c r="O313" s="31"/>
    </row>
    <row r="314" spans="1:15" ht="15.75" customHeight="1">
      <c r="A314" s="31"/>
      <c r="B314" s="31"/>
      <c r="C314" s="32"/>
      <c r="D314" s="31"/>
      <c r="E314" s="31"/>
      <c r="F314" s="31"/>
      <c r="G314" s="31"/>
      <c r="H314" s="31"/>
      <c r="I314" s="31"/>
      <c r="J314" s="31"/>
      <c r="K314" s="31"/>
      <c r="L314" s="31"/>
      <c r="M314" s="31"/>
      <c r="N314" s="33"/>
      <c r="O314" s="31"/>
    </row>
    <row r="315" spans="1:15" ht="15.75" customHeight="1">
      <c r="A315" s="31"/>
      <c r="B315" s="31"/>
      <c r="C315" s="32"/>
      <c r="D315" s="31"/>
      <c r="E315" s="31"/>
      <c r="F315" s="31"/>
      <c r="G315" s="31"/>
      <c r="H315" s="31"/>
      <c r="I315" s="31"/>
      <c r="J315" s="31"/>
      <c r="K315" s="31"/>
      <c r="L315" s="31"/>
      <c r="M315" s="31"/>
      <c r="N315" s="33"/>
      <c r="O315" s="31"/>
    </row>
    <row r="316" spans="1:15" ht="15.75" customHeight="1">
      <c r="A316" s="31"/>
      <c r="B316" s="31"/>
      <c r="C316" s="32"/>
      <c r="D316" s="31"/>
      <c r="E316" s="31"/>
      <c r="F316" s="31"/>
      <c r="G316" s="31"/>
      <c r="H316" s="31"/>
      <c r="I316" s="31"/>
      <c r="J316" s="31"/>
      <c r="K316" s="31"/>
      <c r="L316" s="31"/>
      <c r="M316" s="31"/>
      <c r="N316" s="33"/>
      <c r="O316" s="31"/>
    </row>
    <row r="317" spans="1:15" ht="15.75" customHeight="1">
      <c r="A317" s="31"/>
      <c r="B317" s="31"/>
      <c r="C317" s="32"/>
      <c r="D317" s="31"/>
      <c r="E317" s="31"/>
      <c r="F317" s="31"/>
      <c r="G317" s="31"/>
      <c r="H317" s="31"/>
      <c r="I317" s="31"/>
      <c r="J317" s="31"/>
      <c r="K317" s="31"/>
      <c r="L317" s="31"/>
      <c r="M317" s="31"/>
      <c r="N317" s="33"/>
      <c r="O317" s="31"/>
    </row>
    <row r="318" spans="1:15" ht="15.75" customHeight="1">
      <c r="A318" s="31"/>
      <c r="B318" s="31"/>
      <c r="C318" s="32"/>
      <c r="D318" s="31"/>
      <c r="E318" s="31"/>
      <c r="F318" s="31"/>
      <c r="G318" s="31"/>
      <c r="H318" s="31"/>
      <c r="I318" s="31"/>
      <c r="J318" s="31"/>
      <c r="K318" s="31"/>
      <c r="L318" s="31"/>
      <c r="M318" s="31"/>
      <c r="N318" s="33"/>
      <c r="O318" s="31"/>
    </row>
    <row r="319" spans="1:15" ht="15.75" customHeight="1">
      <c r="A319" s="31"/>
      <c r="B319" s="31"/>
      <c r="C319" s="32"/>
      <c r="D319" s="31"/>
      <c r="E319" s="31"/>
      <c r="F319" s="31"/>
      <c r="G319" s="31"/>
      <c r="H319" s="31"/>
      <c r="I319" s="31"/>
      <c r="J319" s="31"/>
      <c r="K319" s="31"/>
      <c r="L319" s="31"/>
      <c r="M319" s="31"/>
      <c r="N319" s="33"/>
      <c r="O319" s="31"/>
    </row>
    <row r="320" spans="1:15" ht="15.75" customHeight="1">
      <c r="A320" s="31"/>
      <c r="B320" s="31"/>
      <c r="C320" s="32"/>
      <c r="D320" s="31"/>
      <c r="E320" s="31"/>
      <c r="F320" s="31"/>
      <c r="G320" s="31"/>
      <c r="H320" s="31"/>
      <c r="I320" s="31"/>
      <c r="J320" s="31"/>
      <c r="K320" s="31"/>
      <c r="L320" s="31"/>
      <c r="M320" s="31"/>
      <c r="N320" s="33"/>
      <c r="O320" s="31"/>
    </row>
    <row r="321" spans="1:15" ht="15.75" customHeight="1">
      <c r="A321" s="31"/>
      <c r="B321" s="31"/>
      <c r="C321" s="32"/>
      <c r="D321" s="31"/>
      <c r="E321" s="31"/>
      <c r="F321" s="31"/>
      <c r="G321" s="31"/>
      <c r="H321" s="31"/>
      <c r="I321" s="31"/>
      <c r="J321" s="31"/>
      <c r="K321" s="31"/>
      <c r="L321" s="31"/>
      <c r="M321" s="31"/>
      <c r="N321" s="33"/>
      <c r="O321" s="31"/>
    </row>
    <row r="322" spans="1:15" ht="15.75" customHeight="1">
      <c r="A322" s="31"/>
      <c r="B322" s="31"/>
      <c r="C322" s="32"/>
      <c r="D322" s="31"/>
      <c r="E322" s="31"/>
      <c r="F322" s="31"/>
      <c r="G322" s="31"/>
      <c r="H322" s="31"/>
      <c r="I322" s="31"/>
      <c r="J322" s="31"/>
      <c r="K322" s="31"/>
      <c r="L322" s="31"/>
      <c r="M322" s="31"/>
      <c r="N322" s="33"/>
      <c r="O322" s="31"/>
    </row>
    <row r="323" spans="1:15" ht="15.75" customHeight="1">
      <c r="A323" s="31"/>
      <c r="B323" s="31"/>
      <c r="C323" s="32"/>
      <c r="D323" s="31"/>
      <c r="E323" s="31"/>
      <c r="F323" s="31"/>
      <c r="G323" s="31"/>
      <c r="H323" s="31"/>
      <c r="I323" s="31"/>
      <c r="J323" s="31"/>
      <c r="K323" s="31"/>
      <c r="L323" s="31"/>
      <c r="M323" s="31"/>
      <c r="N323" s="33"/>
      <c r="O323" s="31"/>
    </row>
    <row r="324" spans="1:15" ht="15.75" customHeight="1">
      <c r="A324" s="31"/>
      <c r="B324" s="31"/>
      <c r="C324" s="32"/>
      <c r="D324" s="31"/>
      <c r="E324" s="31"/>
      <c r="F324" s="31"/>
      <c r="G324" s="31"/>
      <c r="H324" s="31"/>
      <c r="I324" s="31"/>
      <c r="J324" s="31"/>
      <c r="K324" s="31"/>
      <c r="L324" s="31"/>
      <c r="M324" s="31"/>
      <c r="N324" s="33"/>
      <c r="O324" s="31"/>
    </row>
    <row r="325" spans="1:15" ht="15.75" customHeight="1">
      <c r="A325" s="31"/>
      <c r="B325" s="31"/>
      <c r="C325" s="32"/>
      <c r="D325" s="31"/>
      <c r="E325" s="31"/>
      <c r="F325" s="31"/>
      <c r="G325" s="31"/>
      <c r="H325" s="31"/>
      <c r="I325" s="31"/>
      <c r="J325" s="31"/>
      <c r="K325" s="31"/>
      <c r="L325" s="31"/>
      <c r="M325" s="31"/>
      <c r="N325" s="33"/>
      <c r="O325" s="31"/>
    </row>
    <row r="326" spans="1:15" ht="15.75" customHeight="1">
      <c r="A326" s="31"/>
      <c r="B326" s="31"/>
      <c r="C326" s="32"/>
      <c r="D326" s="31"/>
      <c r="E326" s="31"/>
      <c r="F326" s="31"/>
      <c r="G326" s="31"/>
      <c r="H326" s="31"/>
      <c r="I326" s="31"/>
      <c r="J326" s="31"/>
      <c r="K326" s="31"/>
      <c r="L326" s="31"/>
      <c r="M326" s="31"/>
      <c r="N326" s="33"/>
      <c r="O326" s="31"/>
    </row>
    <row r="327" spans="1:15" ht="15.75" customHeight="1">
      <c r="A327" s="31"/>
      <c r="B327" s="31"/>
      <c r="C327" s="32"/>
      <c r="D327" s="31"/>
      <c r="E327" s="31"/>
      <c r="F327" s="31"/>
      <c r="G327" s="31"/>
      <c r="H327" s="31"/>
      <c r="I327" s="31"/>
      <c r="J327" s="31"/>
      <c r="K327" s="31"/>
      <c r="L327" s="31"/>
      <c r="M327" s="31"/>
      <c r="N327" s="33"/>
      <c r="O327" s="31"/>
    </row>
    <row r="328" spans="1:15" ht="15.75" customHeight="1">
      <c r="A328" s="31"/>
      <c r="B328" s="31"/>
      <c r="C328" s="32"/>
      <c r="D328" s="31"/>
      <c r="E328" s="31"/>
      <c r="F328" s="31"/>
      <c r="G328" s="31"/>
      <c r="H328" s="31"/>
      <c r="I328" s="31"/>
      <c r="J328" s="31"/>
      <c r="K328" s="31"/>
      <c r="L328" s="31"/>
      <c r="M328" s="31"/>
      <c r="N328" s="33"/>
      <c r="O328" s="31"/>
    </row>
    <row r="329" spans="1:15" ht="15.75" customHeight="1">
      <c r="A329" s="31"/>
      <c r="B329" s="31"/>
      <c r="C329" s="32"/>
      <c r="D329" s="31"/>
      <c r="E329" s="31"/>
      <c r="F329" s="31"/>
      <c r="G329" s="31"/>
      <c r="H329" s="31"/>
      <c r="I329" s="31"/>
      <c r="J329" s="31"/>
      <c r="K329" s="31"/>
      <c r="L329" s="31"/>
      <c r="M329" s="31"/>
      <c r="N329" s="33"/>
      <c r="O329" s="31"/>
    </row>
    <row r="330" spans="1:15" ht="15.75" customHeight="1">
      <c r="A330" s="31"/>
      <c r="B330" s="31"/>
      <c r="C330" s="32"/>
      <c r="D330" s="31"/>
      <c r="E330" s="31"/>
      <c r="F330" s="31"/>
      <c r="G330" s="31"/>
      <c r="H330" s="31"/>
      <c r="I330" s="31"/>
      <c r="J330" s="31"/>
      <c r="K330" s="31"/>
      <c r="L330" s="31"/>
      <c r="M330" s="31"/>
      <c r="N330" s="33"/>
      <c r="O330" s="31"/>
    </row>
    <row r="331" spans="1:15" ht="15.75" customHeight="1">
      <c r="A331" s="31"/>
      <c r="B331" s="31"/>
      <c r="C331" s="32"/>
      <c r="D331" s="31"/>
      <c r="E331" s="31"/>
      <c r="F331" s="31"/>
      <c r="G331" s="31"/>
      <c r="H331" s="31"/>
      <c r="I331" s="31"/>
      <c r="J331" s="31"/>
      <c r="K331" s="31"/>
      <c r="L331" s="31"/>
      <c r="M331" s="31"/>
      <c r="N331" s="33"/>
      <c r="O331" s="31"/>
    </row>
    <row r="332" spans="1:15" ht="15.75" customHeight="1">
      <c r="A332" s="31"/>
      <c r="B332" s="31"/>
      <c r="C332" s="32"/>
      <c r="D332" s="31"/>
      <c r="E332" s="31"/>
      <c r="F332" s="31"/>
      <c r="G332" s="31"/>
      <c r="H332" s="31"/>
      <c r="I332" s="31"/>
      <c r="J332" s="31"/>
      <c r="K332" s="31"/>
      <c r="L332" s="31"/>
      <c r="M332" s="31"/>
      <c r="N332" s="33"/>
      <c r="O332" s="31"/>
    </row>
    <row r="333" spans="1:15" ht="15.75" customHeight="1">
      <c r="A333" s="31"/>
      <c r="B333" s="31"/>
      <c r="C333" s="32"/>
      <c r="D333" s="31"/>
      <c r="E333" s="31"/>
      <c r="F333" s="31"/>
      <c r="G333" s="31"/>
      <c r="H333" s="31"/>
      <c r="I333" s="31"/>
      <c r="J333" s="31"/>
      <c r="K333" s="31"/>
      <c r="L333" s="31"/>
      <c r="M333" s="31"/>
      <c r="N333" s="33"/>
      <c r="O333" s="31"/>
    </row>
    <row r="334" spans="1:15" ht="15.75" customHeight="1">
      <c r="A334" s="31"/>
      <c r="B334" s="31"/>
      <c r="C334" s="32"/>
      <c r="D334" s="31"/>
      <c r="E334" s="31"/>
      <c r="F334" s="31"/>
      <c r="G334" s="31"/>
      <c r="H334" s="31"/>
      <c r="I334" s="31"/>
      <c r="J334" s="31"/>
      <c r="K334" s="31"/>
      <c r="L334" s="31"/>
      <c r="M334" s="31"/>
      <c r="N334" s="33"/>
      <c r="O334" s="31"/>
    </row>
    <row r="335" spans="1:15" ht="15.75" customHeight="1">
      <c r="A335" s="31"/>
      <c r="B335" s="31"/>
      <c r="C335" s="32"/>
      <c r="D335" s="31"/>
      <c r="E335" s="31"/>
      <c r="F335" s="31"/>
      <c r="G335" s="31"/>
      <c r="H335" s="31"/>
      <c r="I335" s="31"/>
      <c r="J335" s="31"/>
      <c r="K335" s="31"/>
      <c r="L335" s="31"/>
      <c r="M335" s="31"/>
      <c r="N335" s="33"/>
      <c r="O335" s="31"/>
    </row>
    <row r="336" spans="1:15" ht="15.75" customHeight="1">
      <c r="A336" s="31"/>
      <c r="B336" s="31"/>
      <c r="C336" s="32"/>
      <c r="D336" s="31"/>
      <c r="E336" s="31"/>
      <c r="F336" s="31"/>
      <c r="G336" s="31"/>
      <c r="H336" s="31"/>
      <c r="I336" s="31"/>
      <c r="J336" s="31"/>
      <c r="K336" s="31"/>
      <c r="L336" s="31"/>
      <c r="M336" s="31"/>
      <c r="N336" s="33"/>
      <c r="O336" s="31"/>
    </row>
    <row r="337" spans="1:15" ht="15.75" customHeight="1">
      <c r="A337" s="31"/>
      <c r="B337" s="31"/>
      <c r="C337" s="32"/>
      <c r="D337" s="31"/>
      <c r="E337" s="31"/>
      <c r="F337" s="31"/>
      <c r="G337" s="31"/>
      <c r="H337" s="31"/>
      <c r="I337" s="31"/>
      <c r="J337" s="31"/>
      <c r="K337" s="31"/>
      <c r="L337" s="31"/>
      <c r="M337" s="31"/>
      <c r="N337" s="33"/>
      <c r="O337" s="31"/>
    </row>
    <row r="338" spans="1:15" ht="15.75" customHeight="1">
      <c r="A338" s="31"/>
      <c r="B338" s="31"/>
      <c r="C338" s="32"/>
      <c r="D338" s="31"/>
      <c r="E338" s="31"/>
      <c r="F338" s="31"/>
      <c r="G338" s="31"/>
      <c r="H338" s="31"/>
      <c r="I338" s="31"/>
      <c r="J338" s="31"/>
      <c r="K338" s="31"/>
      <c r="L338" s="31"/>
      <c r="M338" s="31"/>
      <c r="N338" s="33"/>
      <c r="O338" s="31"/>
    </row>
    <row r="339" spans="1:15" ht="15.75" customHeight="1">
      <c r="A339" s="31"/>
      <c r="B339" s="31"/>
      <c r="C339" s="32"/>
      <c r="D339" s="31"/>
      <c r="E339" s="31"/>
      <c r="F339" s="31"/>
      <c r="G339" s="31"/>
      <c r="H339" s="31"/>
      <c r="I339" s="31"/>
      <c r="J339" s="31"/>
      <c r="K339" s="31"/>
      <c r="L339" s="31"/>
      <c r="M339" s="31"/>
      <c r="N339" s="33"/>
      <c r="O339" s="31"/>
    </row>
    <row r="340" spans="1:15" ht="15.75" customHeight="1">
      <c r="A340" s="31"/>
      <c r="B340" s="31"/>
      <c r="C340" s="32"/>
      <c r="D340" s="31"/>
      <c r="E340" s="31"/>
      <c r="F340" s="31"/>
      <c r="G340" s="31"/>
      <c r="H340" s="31"/>
      <c r="I340" s="31"/>
      <c r="J340" s="31"/>
      <c r="K340" s="31"/>
      <c r="L340" s="31"/>
      <c r="M340" s="31"/>
      <c r="N340" s="33"/>
      <c r="O340" s="31"/>
    </row>
    <row r="341" spans="1:15" ht="15.75" customHeight="1">
      <c r="A341" s="31"/>
      <c r="B341" s="31"/>
      <c r="C341" s="32"/>
      <c r="D341" s="31"/>
      <c r="E341" s="31"/>
      <c r="F341" s="31"/>
      <c r="G341" s="31"/>
      <c r="H341" s="31"/>
      <c r="I341" s="31"/>
      <c r="J341" s="31"/>
      <c r="K341" s="31"/>
      <c r="L341" s="31"/>
      <c r="M341" s="31"/>
      <c r="N341" s="33"/>
      <c r="O341" s="31"/>
    </row>
    <row r="342" spans="1:15" ht="15.75" customHeight="1">
      <c r="A342" s="31"/>
      <c r="B342" s="31"/>
      <c r="C342" s="32"/>
      <c r="D342" s="31"/>
      <c r="E342" s="31"/>
      <c r="F342" s="31"/>
      <c r="G342" s="31"/>
      <c r="H342" s="31"/>
      <c r="I342" s="31"/>
      <c r="J342" s="31"/>
      <c r="K342" s="31"/>
      <c r="L342" s="31"/>
      <c r="M342" s="31"/>
      <c r="N342" s="33"/>
      <c r="O342" s="31"/>
    </row>
    <row r="343" spans="1:15" ht="15.75" customHeight="1">
      <c r="A343" s="31"/>
      <c r="B343" s="31"/>
      <c r="C343" s="32"/>
      <c r="D343" s="31"/>
      <c r="E343" s="31"/>
      <c r="F343" s="31"/>
      <c r="G343" s="31"/>
      <c r="H343" s="31"/>
      <c r="I343" s="31"/>
      <c r="J343" s="31"/>
      <c r="K343" s="31"/>
      <c r="L343" s="31"/>
      <c r="M343" s="31"/>
      <c r="N343" s="33"/>
      <c r="O343" s="31"/>
    </row>
    <row r="344" spans="1:15" ht="15.75" customHeight="1">
      <c r="A344" s="31"/>
      <c r="B344" s="31"/>
      <c r="C344" s="32"/>
      <c r="D344" s="31"/>
      <c r="E344" s="31"/>
      <c r="F344" s="31"/>
      <c r="G344" s="31"/>
      <c r="H344" s="31"/>
      <c r="I344" s="31"/>
      <c r="J344" s="31"/>
      <c r="K344" s="31"/>
      <c r="L344" s="31"/>
      <c r="M344" s="31"/>
      <c r="N344" s="33"/>
      <c r="O344" s="31"/>
    </row>
    <row r="345" spans="1:15" ht="15.75" customHeight="1">
      <c r="A345" s="31"/>
      <c r="B345" s="31"/>
      <c r="C345" s="32"/>
      <c r="D345" s="31"/>
      <c r="E345" s="31"/>
      <c r="F345" s="31"/>
      <c r="G345" s="31"/>
      <c r="H345" s="31"/>
      <c r="I345" s="31"/>
      <c r="J345" s="31"/>
      <c r="K345" s="31"/>
      <c r="L345" s="31"/>
      <c r="M345" s="31"/>
      <c r="N345" s="33"/>
      <c r="O345" s="31"/>
    </row>
    <row r="346" spans="1:15" ht="15.75" customHeight="1">
      <c r="A346" s="31"/>
      <c r="B346" s="31"/>
      <c r="C346" s="32"/>
      <c r="D346" s="31"/>
      <c r="E346" s="31"/>
      <c r="F346" s="31"/>
      <c r="G346" s="31"/>
      <c r="H346" s="31"/>
      <c r="I346" s="31"/>
      <c r="J346" s="31"/>
      <c r="K346" s="31"/>
      <c r="L346" s="31"/>
      <c r="M346" s="31"/>
      <c r="N346" s="33"/>
      <c r="O346" s="31"/>
    </row>
    <row r="347" spans="1:15" ht="15.75" customHeight="1">
      <c r="A347" s="31"/>
      <c r="B347" s="31"/>
      <c r="C347" s="32"/>
      <c r="D347" s="31"/>
      <c r="E347" s="31"/>
      <c r="F347" s="31"/>
      <c r="G347" s="31"/>
      <c r="H347" s="31"/>
      <c r="I347" s="31"/>
      <c r="J347" s="31"/>
      <c r="K347" s="31"/>
      <c r="L347" s="31"/>
      <c r="M347" s="31"/>
      <c r="N347" s="33"/>
      <c r="O347" s="31"/>
    </row>
    <row r="348" spans="1:15" ht="15.75" customHeight="1">
      <c r="A348" s="31"/>
      <c r="B348" s="31"/>
      <c r="C348" s="32"/>
      <c r="D348" s="31"/>
      <c r="E348" s="31"/>
      <c r="F348" s="31"/>
      <c r="G348" s="31"/>
      <c r="H348" s="31"/>
      <c r="I348" s="31"/>
      <c r="J348" s="31"/>
      <c r="K348" s="31"/>
      <c r="L348" s="31"/>
      <c r="M348" s="31"/>
      <c r="N348" s="33"/>
      <c r="O348" s="31"/>
    </row>
    <row r="349" spans="1:15" ht="15.75" customHeight="1">
      <c r="A349" s="31"/>
      <c r="B349" s="31"/>
      <c r="C349" s="32"/>
      <c r="D349" s="31"/>
      <c r="E349" s="31"/>
      <c r="F349" s="31"/>
      <c r="G349" s="31"/>
      <c r="H349" s="31"/>
      <c r="I349" s="31"/>
      <c r="J349" s="31"/>
      <c r="K349" s="31"/>
      <c r="L349" s="31"/>
      <c r="M349" s="31"/>
      <c r="N349" s="33"/>
      <c r="O349" s="31"/>
    </row>
    <row r="350" spans="1:15" ht="15.75" customHeight="1">
      <c r="A350" s="31"/>
      <c r="B350" s="31"/>
      <c r="C350" s="32"/>
      <c r="D350" s="31"/>
      <c r="E350" s="31"/>
      <c r="F350" s="31"/>
      <c r="G350" s="31"/>
      <c r="H350" s="31"/>
      <c r="I350" s="31"/>
      <c r="J350" s="31"/>
      <c r="K350" s="31"/>
      <c r="L350" s="31"/>
      <c r="M350" s="31"/>
      <c r="N350" s="33"/>
      <c r="O350" s="31"/>
    </row>
    <row r="351" spans="1:15" ht="15.75" customHeight="1">
      <c r="A351" s="31"/>
      <c r="B351" s="31"/>
      <c r="C351" s="32"/>
      <c r="D351" s="31"/>
      <c r="E351" s="31"/>
      <c r="F351" s="31"/>
      <c r="G351" s="31"/>
      <c r="H351" s="31"/>
      <c r="I351" s="31"/>
      <c r="J351" s="31"/>
      <c r="K351" s="31"/>
      <c r="L351" s="31"/>
      <c r="M351" s="31"/>
      <c r="N351" s="33"/>
      <c r="O351" s="31"/>
    </row>
    <row r="352" spans="1:15" ht="15.75" customHeight="1">
      <c r="A352" s="31"/>
      <c r="B352" s="31"/>
      <c r="C352" s="32"/>
      <c r="D352" s="31"/>
      <c r="E352" s="31"/>
      <c r="F352" s="31"/>
      <c r="G352" s="31"/>
      <c r="H352" s="31"/>
      <c r="I352" s="31"/>
      <c r="J352" s="31"/>
      <c r="K352" s="31"/>
      <c r="L352" s="31"/>
      <c r="M352" s="31"/>
      <c r="N352" s="33"/>
      <c r="O352" s="31"/>
    </row>
    <row r="353" spans="1:15" ht="15.75" customHeight="1">
      <c r="A353" s="31"/>
      <c r="B353" s="31"/>
      <c r="C353" s="32"/>
      <c r="D353" s="31"/>
      <c r="E353" s="31"/>
      <c r="F353" s="31"/>
      <c r="G353" s="31"/>
      <c r="H353" s="31"/>
      <c r="I353" s="31"/>
      <c r="J353" s="31"/>
      <c r="K353" s="31"/>
      <c r="L353" s="31"/>
      <c r="M353" s="31"/>
      <c r="N353" s="33"/>
      <c r="O353" s="31"/>
    </row>
    <row r="354" spans="1:15" ht="15.75" customHeight="1">
      <c r="A354" s="31"/>
      <c r="B354" s="31"/>
      <c r="C354" s="32"/>
      <c r="D354" s="31"/>
      <c r="E354" s="31"/>
      <c r="F354" s="31"/>
      <c r="G354" s="31"/>
      <c r="H354" s="31"/>
      <c r="I354" s="31"/>
      <c r="J354" s="31"/>
      <c r="K354" s="31"/>
      <c r="L354" s="31"/>
      <c r="M354" s="31"/>
      <c r="N354" s="33"/>
      <c r="O354" s="31"/>
    </row>
    <row r="355" spans="1:15" ht="15.75" customHeight="1">
      <c r="A355" s="31"/>
      <c r="B355" s="31"/>
      <c r="C355" s="32"/>
      <c r="D355" s="31"/>
      <c r="E355" s="31"/>
      <c r="F355" s="31"/>
      <c r="G355" s="31"/>
      <c r="H355" s="31"/>
      <c r="I355" s="31"/>
      <c r="J355" s="31"/>
      <c r="K355" s="31"/>
      <c r="L355" s="31"/>
      <c r="M355" s="31"/>
      <c r="N355" s="33"/>
      <c r="O355" s="31"/>
    </row>
    <row r="356" spans="1:15" ht="15.75" customHeight="1">
      <c r="A356" s="31"/>
      <c r="B356" s="31"/>
      <c r="C356" s="32"/>
      <c r="D356" s="31"/>
      <c r="E356" s="31"/>
      <c r="F356" s="31"/>
      <c r="G356" s="31"/>
      <c r="H356" s="31"/>
      <c r="I356" s="31"/>
      <c r="J356" s="31"/>
      <c r="K356" s="31"/>
      <c r="L356" s="31"/>
      <c r="M356" s="31"/>
      <c r="N356" s="33"/>
      <c r="O356" s="31"/>
    </row>
    <row r="357" spans="1:15" ht="15.75" customHeight="1">
      <c r="A357" s="31"/>
      <c r="B357" s="31"/>
      <c r="C357" s="32"/>
      <c r="D357" s="31"/>
      <c r="E357" s="31"/>
      <c r="F357" s="31"/>
      <c r="G357" s="31"/>
      <c r="H357" s="31"/>
      <c r="I357" s="31"/>
      <c r="J357" s="31"/>
      <c r="K357" s="31"/>
      <c r="L357" s="31"/>
      <c r="M357" s="31"/>
      <c r="N357" s="33"/>
      <c r="O357" s="31"/>
    </row>
    <row r="358" spans="1:15" ht="15.75" customHeight="1">
      <c r="A358" s="31"/>
      <c r="B358" s="31"/>
      <c r="C358" s="32"/>
      <c r="D358" s="31"/>
      <c r="E358" s="31"/>
      <c r="F358" s="31"/>
      <c r="G358" s="31"/>
      <c r="H358" s="31"/>
      <c r="I358" s="31"/>
      <c r="J358" s="31"/>
      <c r="K358" s="31"/>
      <c r="L358" s="31"/>
      <c r="M358" s="31"/>
      <c r="N358" s="33"/>
      <c r="O358" s="31"/>
    </row>
    <row r="359" spans="1:15" ht="15.75" customHeight="1">
      <c r="A359" s="31"/>
      <c r="B359" s="31"/>
      <c r="C359" s="32"/>
      <c r="D359" s="31"/>
      <c r="E359" s="31"/>
      <c r="F359" s="31"/>
      <c r="G359" s="31"/>
      <c r="H359" s="31"/>
      <c r="I359" s="31"/>
      <c r="J359" s="31"/>
      <c r="K359" s="31"/>
      <c r="L359" s="31"/>
      <c r="M359" s="31"/>
      <c r="N359" s="33"/>
      <c r="O359" s="31"/>
    </row>
    <row r="360" spans="1:15" ht="15.75" customHeight="1">
      <c r="A360" s="31"/>
      <c r="B360" s="31"/>
      <c r="C360" s="32"/>
      <c r="D360" s="31"/>
      <c r="E360" s="31"/>
      <c r="F360" s="31"/>
      <c r="G360" s="31"/>
      <c r="H360" s="31"/>
      <c r="I360" s="31"/>
      <c r="J360" s="31"/>
      <c r="K360" s="31"/>
      <c r="L360" s="31"/>
      <c r="M360" s="31"/>
      <c r="N360" s="33"/>
      <c r="O360" s="31"/>
    </row>
    <row r="361" spans="1:15" ht="15.75" customHeight="1">
      <c r="A361" s="31"/>
      <c r="B361" s="31"/>
      <c r="C361" s="32"/>
      <c r="D361" s="31"/>
      <c r="E361" s="31"/>
      <c r="F361" s="31"/>
      <c r="G361" s="31"/>
      <c r="H361" s="31"/>
      <c r="I361" s="31"/>
      <c r="J361" s="31"/>
      <c r="K361" s="31"/>
      <c r="L361" s="31"/>
      <c r="M361" s="31"/>
      <c r="N361" s="33"/>
      <c r="O361" s="31"/>
    </row>
    <row r="362" spans="1:15" ht="15.75" customHeight="1">
      <c r="A362" s="31"/>
      <c r="B362" s="31"/>
      <c r="C362" s="32"/>
      <c r="D362" s="31"/>
      <c r="E362" s="31"/>
      <c r="F362" s="31"/>
      <c r="G362" s="31"/>
      <c r="H362" s="31"/>
      <c r="I362" s="31"/>
      <c r="J362" s="31"/>
      <c r="K362" s="31"/>
      <c r="L362" s="31"/>
      <c r="M362" s="31"/>
      <c r="N362" s="33"/>
      <c r="O362" s="31"/>
    </row>
    <row r="363" spans="1:15" ht="15.75" customHeight="1">
      <c r="A363" s="31"/>
      <c r="B363" s="31"/>
      <c r="C363" s="32"/>
      <c r="D363" s="31"/>
      <c r="E363" s="31"/>
      <c r="F363" s="31"/>
      <c r="G363" s="31"/>
      <c r="H363" s="31"/>
      <c r="I363" s="31"/>
      <c r="J363" s="31"/>
      <c r="K363" s="31"/>
      <c r="L363" s="31"/>
      <c r="M363" s="31"/>
      <c r="N363" s="33"/>
      <c r="O363" s="31"/>
    </row>
    <row r="364" spans="1:15" ht="15.75" customHeight="1">
      <c r="A364" s="31"/>
      <c r="B364" s="31"/>
      <c r="C364" s="32"/>
      <c r="D364" s="31"/>
      <c r="E364" s="31"/>
      <c r="F364" s="31"/>
      <c r="G364" s="31"/>
      <c r="H364" s="31"/>
      <c r="I364" s="31"/>
      <c r="J364" s="31"/>
      <c r="K364" s="31"/>
      <c r="L364" s="31"/>
      <c r="M364" s="31"/>
      <c r="N364" s="33"/>
      <c r="O364" s="31"/>
    </row>
    <row r="365" spans="1:15" ht="15.75" customHeight="1">
      <c r="A365" s="31"/>
      <c r="B365" s="31"/>
      <c r="C365" s="32"/>
      <c r="D365" s="31"/>
      <c r="E365" s="31"/>
      <c r="F365" s="31"/>
      <c r="G365" s="31"/>
      <c r="H365" s="31"/>
      <c r="I365" s="31"/>
      <c r="J365" s="31"/>
      <c r="K365" s="31"/>
      <c r="L365" s="31"/>
      <c r="M365" s="31"/>
      <c r="N365" s="33"/>
      <c r="O365" s="31"/>
    </row>
    <row r="366" spans="1:15" ht="15.75" customHeight="1">
      <c r="A366" s="31"/>
      <c r="B366" s="31"/>
      <c r="C366" s="32"/>
      <c r="D366" s="31"/>
      <c r="E366" s="31"/>
      <c r="F366" s="31"/>
      <c r="G366" s="31"/>
      <c r="H366" s="31"/>
      <c r="I366" s="31"/>
      <c r="J366" s="31"/>
      <c r="K366" s="31"/>
      <c r="L366" s="31"/>
      <c r="M366" s="31"/>
      <c r="N366" s="33"/>
      <c r="O366" s="31"/>
    </row>
    <row r="367" spans="1:15" ht="15.75" customHeight="1">
      <c r="A367" s="31"/>
      <c r="B367" s="31"/>
      <c r="C367" s="32"/>
      <c r="D367" s="31"/>
      <c r="E367" s="31"/>
      <c r="F367" s="31"/>
      <c r="G367" s="31"/>
      <c r="H367" s="31"/>
      <c r="I367" s="31"/>
      <c r="J367" s="31"/>
      <c r="K367" s="31"/>
      <c r="L367" s="31"/>
      <c r="M367" s="31"/>
      <c r="N367" s="33"/>
      <c r="O367" s="31"/>
    </row>
    <row r="368" spans="1:15" ht="15.75" customHeight="1">
      <c r="A368" s="31"/>
      <c r="B368" s="31"/>
      <c r="C368" s="32"/>
      <c r="D368" s="31"/>
      <c r="E368" s="31"/>
      <c r="F368" s="31"/>
      <c r="G368" s="31"/>
      <c r="H368" s="31"/>
      <c r="I368" s="31"/>
      <c r="J368" s="31"/>
      <c r="K368" s="31"/>
      <c r="L368" s="31"/>
      <c r="M368" s="31"/>
      <c r="N368" s="33"/>
      <c r="O368" s="31"/>
    </row>
    <row r="369" spans="1:15" ht="15.75" customHeight="1">
      <c r="A369" s="31"/>
      <c r="B369" s="31"/>
      <c r="C369" s="32"/>
      <c r="D369" s="31"/>
      <c r="E369" s="31"/>
      <c r="F369" s="31"/>
      <c r="G369" s="31"/>
      <c r="H369" s="31"/>
      <c r="I369" s="31"/>
      <c r="J369" s="31"/>
      <c r="K369" s="31"/>
      <c r="L369" s="31"/>
      <c r="M369" s="31"/>
      <c r="N369" s="33"/>
      <c r="O369" s="31"/>
    </row>
    <row r="370" spans="1:15" ht="15.75" customHeight="1">
      <c r="A370" s="31"/>
      <c r="B370" s="31"/>
      <c r="C370" s="32"/>
      <c r="D370" s="31"/>
      <c r="E370" s="31"/>
      <c r="F370" s="31"/>
      <c r="G370" s="31"/>
      <c r="H370" s="31"/>
      <c r="I370" s="31"/>
      <c r="J370" s="31"/>
      <c r="K370" s="31"/>
      <c r="L370" s="31"/>
      <c r="M370" s="31"/>
      <c r="N370" s="33"/>
      <c r="O370" s="31"/>
    </row>
    <row r="371" spans="1:15" ht="15.75" customHeight="1">
      <c r="A371" s="31"/>
      <c r="B371" s="31"/>
      <c r="C371" s="32"/>
      <c r="D371" s="31"/>
      <c r="E371" s="31"/>
      <c r="F371" s="31"/>
      <c r="G371" s="31"/>
      <c r="H371" s="31"/>
      <c r="I371" s="31"/>
      <c r="J371" s="31"/>
      <c r="K371" s="31"/>
      <c r="L371" s="31"/>
      <c r="M371" s="31"/>
      <c r="N371" s="33"/>
      <c r="O371" s="31"/>
    </row>
    <row r="372" spans="1:15" ht="15.75" customHeight="1">
      <c r="A372" s="31"/>
      <c r="B372" s="31"/>
      <c r="C372" s="32"/>
      <c r="D372" s="31"/>
      <c r="E372" s="31"/>
      <c r="F372" s="31"/>
      <c r="G372" s="31"/>
      <c r="H372" s="31"/>
      <c r="I372" s="31"/>
      <c r="J372" s="31"/>
      <c r="K372" s="31"/>
      <c r="L372" s="31"/>
      <c r="M372" s="31"/>
      <c r="N372" s="33"/>
      <c r="O372" s="31"/>
    </row>
    <row r="373" spans="1:15" ht="15.75" customHeight="1">
      <c r="A373" s="31"/>
      <c r="B373" s="31"/>
      <c r="C373" s="32"/>
      <c r="D373" s="31"/>
      <c r="E373" s="31"/>
      <c r="F373" s="31"/>
      <c r="G373" s="31"/>
      <c r="H373" s="31"/>
      <c r="I373" s="31"/>
      <c r="J373" s="31"/>
      <c r="K373" s="31"/>
      <c r="L373" s="31"/>
      <c r="M373" s="31"/>
      <c r="N373" s="33"/>
      <c r="O373" s="31"/>
    </row>
    <row r="374" spans="1:15" ht="15.75" customHeight="1">
      <c r="A374" s="31"/>
      <c r="B374" s="31"/>
      <c r="C374" s="32"/>
      <c r="D374" s="31"/>
      <c r="E374" s="31"/>
      <c r="F374" s="31"/>
      <c r="G374" s="31"/>
      <c r="H374" s="31"/>
      <c r="I374" s="31"/>
      <c r="J374" s="31"/>
      <c r="K374" s="31"/>
      <c r="L374" s="31"/>
      <c r="M374" s="31"/>
      <c r="N374" s="33"/>
      <c r="O374" s="31"/>
    </row>
    <row r="375" spans="1:15" ht="15.75" customHeight="1">
      <c r="A375" s="31"/>
      <c r="B375" s="31"/>
      <c r="C375" s="32"/>
      <c r="D375" s="31"/>
      <c r="E375" s="31"/>
      <c r="F375" s="31"/>
      <c r="G375" s="31"/>
      <c r="H375" s="31"/>
      <c r="I375" s="31"/>
      <c r="J375" s="31"/>
      <c r="K375" s="31"/>
      <c r="L375" s="31"/>
      <c r="M375" s="31"/>
      <c r="N375" s="33"/>
      <c r="O375" s="31"/>
    </row>
    <row r="376" spans="1:15" ht="15.75" customHeight="1">
      <c r="A376" s="31"/>
      <c r="B376" s="31"/>
      <c r="C376" s="32"/>
      <c r="D376" s="31"/>
      <c r="E376" s="31"/>
      <c r="F376" s="31"/>
      <c r="G376" s="31"/>
      <c r="H376" s="31"/>
      <c r="I376" s="31"/>
      <c r="J376" s="31"/>
      <c r="K376" s="31"/>
      <c r="L376" s="31"/>
      <c r="M376" s="31"/>
      <c r="N376" s="33"/>
      <c r="O376" s="31"/>
    </row>
    <row r="377" spans="1:15" ht="15.75" customHeight="1">
      <c r="A377" s="31"/>
      <c r="B377" s="31"/>
      <c r="C377" s="32"/>
      <c r="D377" s="31"/>
      <c r="E377" s="31"/>
      <c r="F377" s="31"/>
      <c r="G377" s="31"/>
      <c r="H377" s="31"/>
      <c r="I377" s="31"/>
      <c r="J377" s="31"/>
      <c r="K377" s="31"/>
      <c r="L377" s="31"/>
      <c r="M377" s="31"/>
      <c r="N377" s="33"/>
      <c r="O377" s="31"/>
    </row>
    <row r="378" spans="1:15" ht="15.75" customHeight="1">
      <c r="A378" s="31"/>
      <c r="B378" s="31"/>
      <c r="C378" s="32"/>
      <c r="D378" s="31"/>
      <c r="E378" s="31"/>
      <c r="F378" s="31"/>
      <c r="G378" s="31"/>
      <c r="H378" s="31"/>
      <c r="I378" s="31"/>
      <c r="J378" s="31"/>
      <c r="K378" s="31"/>
      <c r="L378" s="31"/>
      <c r="M378" s="31"/>
      <c r="N378" s="33"/>
      <c r="O378" s="31"/>
    </row>
    <row r="379" spans="1:15" ht="15.75" customHeight="1">
      <c r="A379" s="31"/>
      <c r="B379" s="31"/>
      <c r="C379" s="32"/>
      <c r="D379" s="31"/>
      <c r="E379" s="31"/>
      <c r="F379" s="31"/>
      <c r="G379" s="31"/>
      <c r="H379" s="31"/>
      <c r="I379" s="31"/>
      <c r="J379" s="31"/>
      <c r="K379" s="31"/>
      <c r="L379" s="31"/>
      <c r="M379" s="31"/>
      <c r="N379" s="33"/>
      <c r="O379" s="31"/>
    </row>
    <row r="380" spans="1:15" ht="15.75" customHeight="1">
      <c r="A380" s="31"/>
      <c r="B380" s="31"/>
      <c r="C380" s="32"/>
      <c r="D380" s="31"/>
      <c r="E380" s="31"/>
      <c r="F380" s="31"/>
      <c r="G380" s="31"/>
      <c r="H380" s="31"/>
      <c r="I380" s="31"/>
      <c r="J380" s="31"/>
      <c r="K380" s="31"/>
      <c r="L380" s="31"/>
      <c r="M380" s="31"/>
      <c r="N380" s="33"/>
      <c r="O380" s="31"/>
    </row>
    <row r="381" spans="1:15" ht="15.75" customHeight="1">
      <c r="A381" s="31"/>
      <c r="B381" s="31"/>
      <c r="C381" s="32"/>
      <c r="D381" s="31"/>
      <c r="E381" s="31"/>
      <c r="F381" s="31"/>
      <c r="G381" s="31"/>
      <c r="H381" s="31"/>
      <c r="I381" s="31"/>
      <c r="J381" s="31"/>
      <c r="K381" s="31"/>
      <c r="L381" s="31"/>
      <c r="M381" s="31"/>
      <c r="N381" s="33"/>
      <c r="O381" s="31"/>
    </row>
    <row r="382" spans="1:15" ht="15.75" customHeight="1">
      <c r="A382" s="31"/>
      <c r="B382" s="31"/>
      <c r="C382" s="32"/>
      <c r="D382" s="31"/>
      <c r="E382" s="31"/>
      <c r="F382" s="31"/>
      <c r="G382" s="31"/>
      <c r="H382" s="31"/>
      <c r="I382" s="31"/>
      <c r="J382" s="31"/>
      <c r="K382" s="31"/>
      <c r="L382" s="31"/>
      <c r="M382" s="31"/>
      <c r="N382" s="33"/>
      <c r="O382" s="31"/>
    </row>
    <row r="383" spans="1:15" ht="15.75" customHeight="1">
      <c r="A383" s="31"/>
      <c r="B383" s="31"/>
      <c r="C383" s="32"/>
      <c r="D383" s="31"/>
      <c r="E383" s="31"/>
      <c r="F383" s="31"/>
      <c r="G383" s="31"/>
      <c r="H383" s="31"/>
      <c r="I383" s="31"/>
      <c r="J383" s="31"/>
      <c r="K383" s="31"/>
      <c r="L383" s="31"/>
      <c r="M383" s="31"/>
      <c r="N383" s="33"/>
      <c r="O383" s="31"/>
    </row>
    <row r="384" spans="1:15" ht="15.75" customHeight="1">
      <c r="A384" s="31"/>
      <c r="B384" s="31"/>
      <c r="C384" s="32"/>
      <c r="D384" s="31"/>
      <c r="E384" s="31"/>
      <c r="F384" s="31"/>
      <c r="G384" s="31"/>
      <c r="H384" s="31"/>
      <c r="I384" s="31"/>
      <c r="J384" s="31"/>
      <c r="K384" s="31"/>
      <c r="L384" s="31"/>
      <c r="M384" s="31"/>
      <c r="N384" s="33"/>
      <c r="O384" s="31"/>
    </row>
    <row r="385" spans="1:15" ht="15.75" customHeight="1">
      <c r="A385" s="31"/>
      <c r="B385" s="31"/>
      <c r="C385" s="32"/>
      <c r="D385" s="31"/>
      <c r="E385" s="31"/>
      <c r="F385" s="31"/>
      <c r="G385" s="31"/>
      <c r="H385" s="31"/>
      <c r="I385" s="31"/>
      <c r="J385" s="31"/>
      <c r="K385" s="31"/>
      <c r="L385" s="31"/>
      <c r="M385" s="31"/>
      <c r="N385" s="33"/>
      <c r="O385" s="31"/>
    </row>
    <row r="386" spans="1:15" ht="15.75" customHeight="1">
      <c r="A386" s="31"/>
      <c r="B386" s="31"/>
      <c r="C386" s="32"/>
      <c r="D386" s="31"/>
      <c r="E386" s="31"/>
      <c r="F386" s="31"/>
      <c r="G386" s="31"/>
      <c r="H386" s="31"/>
      <c r="I386" s="31"/>
      <c r="J386" s="31"/>
      <c r="K386" s="31"/>
      <c r="L386" s="31"/>
      <c r="M386" s="31"/>
      <c r="N386" s="33"/>
      <c r="O386" s="31"/>
    </row>
    <row r="387" spans="1:15" ht="15.75" customHeight="1">
      <c r="A387" s="31"/>
      <c r="B387" s="31"/>
      <c r="C387" s="32"/>
      <c r="D387" s="31"/>
      <c r="E387" s="31"/>
      <c r="F387" s="31"/>
      <c r="G387" s="31"/>
      <c r="H387" s="31"/>
      <c r="I387" s="31"/>
      <c r="J387" s="31"/>
      <c r="K387" s="31"/>
      <c r="L387" s="31"/>
      <c r="M387" s="31"/>
      <c r="N387" s="33"/>
      <c r="O387" s="31"/>
    </row>
    <row r="388" spans="1:15" ht="15.75" customHeight="1">
      <c r="A388" s="31"/>
      <c r="B388" s="31"/>
      <c r="C388" s="32"/>
      <c r="D388" s="31"/>
      <c r="E388" s="31"/>
      <c r="F388" s="31"/>
      <c r="G388" s="31"/>
      <c r="H388" s="31"/>
      <c r="I388" s="31"/>
      <c r="J388" s="31"/>
      <c r="K388" s="31"/>
      <c r="L388" s="31"/>
      <c r="M388" s="31"/>
      <c r="N388" s="33"/>
      <c r="O388" s="31"/>
    </row>
    <row r="389" spans="1:15" ht="15.75" customHeight="1">
      <c r="A389" s="31"/>
      <c r="B389" s="31"/>
      <c r="C389" s="32"/>
      <c r="D389" s="31"/>
      <c r="E389" s="31"/>
      <c r="F389" s="31"/>
      <c r="G389" s="31"/>
      <c r="H389" s="31"/>
      <c r="I389" s="31"/>
      <c r="J389" s="31"/>
      <c r="K389" s="31"/>
      <c r="L389" s="31"/>
      <c r="M389" s="31"/>
      <c r="N389" s="33"/>
      <c r="O389" s="31"/>
    </row>
    <row r="390" spans="1:15" ht="15.75" customHeight="1">
      <c r="A390" s="31"/>
      <c r="B390" s="31"/>
      <c r="C390" s="32"/>
      <c r="D390" s="31"/>
      <c r="E390" s="31"/>
      <c r="F390" s="31"/>
      <c r="G390" s="31"/>
      <c r="H390" s="31"/>
      <c r="I390" s="31"/>
      <c r="J390" s="31"/>
      <c r="K390" s="31"/>
      <c r="L390" s="31"/>
      <c r="M390" s="31"/>
      <c r="N390" s="33"/>
      <c r="O390" s="31"/>
    </row>
    <row r="391" spans="1:15" ht="15.75" customHeight="1">
      <c r="A391" s="31"/>
      <c r="B391" s="31"/>
      <c r="C391" s="32"/>
      <c r="D391" s="31"/>
      <c r="E391" s="31"/>
      <c r="F391" s="31"/>
      <c r="G391" s="31"/>
      <c r="H391" s="31"/>
      <c r="I391" s="31"/>
      <c r="J391" s="31"/>
      <c r="K391" s="31"/>
      <c r="L391" s="31"/>
      <c r="M391" s="31"/>
      <c r="N391" s="33"/>
      <c r="O391" s="31"/>
    </row>
    <row r="392" spans="1:15" ht="15.75" customHeight="1">
      <c r="A392" s="31"/>
      <c r="B392" s="31"/>
      <c r="C392" s="32"/>
      <c r="D392" s="31"/>
      <c r="E392" s="31"/>
      <c r="F392" s="31"/>
      <c r="G392" s="31"/>
      <c r="H392" s="31"/>
      <c r="I392" s="31"/>
      <c r="J392" s="31"/>
      <c r="K392" s="31"/>
      <c r="L392" s="31"/>
      <c r="M392" s="31"/>
      <c r="N392" s="33"/>
      <c r="O392" s="31"/>
    </row>
    <row r="393" spans="1:15" ht="15.75" customHeight="1">
      <c r="A393" s="31"/>
      <c r="B393" s="31"/>
      <c r="C393" s="32"/>
      <c r="D393" s="31"/>
      <c r="E393" s="31"/>
      <c r="F393" s="31"/>
      <c r="G393" s="31"/>
      <c r="H393" s="31"/>
      <c r="I393" s="31"/>
      <c r="J393" s="31"/>
      <c r="K393" s="31"/>
      <c r="L393" s="31"/>
      <c r="M393" s="31"/>
      <c r="N393" s="33"/>
      <c r="O393" s="31"/>
    </row>
    <row r="394" spans="1:15" ht="15.75" customHeight="1">
      <c r="A394" s="31"/>
      <c r="B394" s="31"/>
      <c r="C394" s="32"/>
      <c r="D394" s="31"/>
      <c r="E394" s="31"/>
      <c r="F394" s="31"/>
      <c r="G394" s="31"/>
      <c r="H394" s="31"/>
      <c r="I394" s="31"/>
      <c r="J394" s="31"/>
      <c r="K394" s="31"/>
      <c r="L394" s="31"/>
      <c r="M394" s="31"/>
      <c r="N394" s="33"/>
      <c r="O394" s="31"/>
    </row>
    <row r="395" spans="1:15" ht="15.75" customHeight="1">
      <c r="A395" s="31"/>
      <c r="B395" s="31"/>
      <c r="C395" s="32"/>
      <c r="D395" s="31"/>
      <c r="E395" s="31"/>
      <c r="F395" s="31"/>
      <c r="G395" s="31"/>
      <c r="H395" s="31"/>
      <c r="I395" s="31"/>
      <c r="J395" s="31"/>
      <c r="K395" s="31"/>
      <c r="L395" s="31"/>
      <c r="M395" s="31"/>
      <c r="N395" s="33"/>
      <c r="O395" s="31"/>
    </row>
    <row r="396" spans="1:15" ht="15.75" customHeight="1">
      <c r="A396" s="31"/>
      <c r="B396" s="31"/>
      <c r="C396" s="32"/>
      <c r="D396" s="31"/>
      <c r="E396" s="31"/>
      <c r="F396" s="31"/>
      <c r="G396" s="31"/>
      <c r="H396" s="31"/>
      <c r="I396" s="31"/>
      <c r="J396" s="31"/>
      <c r="K396" s="31"/>
      <c r="L396" s="31"/>
      <c r="M396" s="31"/>
      <c r="N396" s="33"/>
      <c r="O396" s="31"/>
    </row>
    <row r="397" spans="1:15" ht="15.75" customHeight="1">
      <c r="A397" s="31"/>
      <c r="B397" s="31"/>
      <c r="C397" s="32"/>
      <c r="D397" s="31"/>
      <c r="E397" s="31"/>
      <c r="F397" s="31"/>
      <c r="G397" s="31"/>
      <c r="H397" s="31"/>
      <c r="I397" s="31"/>
      <c r="J397" s="31"/>
      <c r="K397" s="31"/>
      <c r="L397" s="31"/>
      <c r="M397" s="31"/>
      <c r="N397" s="33"/>
      <c r="O397" s="31"/>
    </row>
    <row r="398" spans="1:15" ht="15.75" customHeight="1">
      <c r="A398" s="31"/>
      <c r="B398" s="31"/>
      <c r="C398" s="32"/>
      <c r="D398" s="31"/>
      <c r="E398" s="31"/>
      <c r="F398" s="31"/>
      <c r="G398" s="31"/>
      <c r="H398" s="31"/>
      <c r="I398" s="31"/>
      <c r="J398" s="31"/>
      <c r="K398" s="31"/>
      <c r="L398" s="31"/>
      <c r="M398" s="31"/>
      <c r="N398" s="33"/>
      <c r="O398" s="31"/>
    </row>
    <row r="399" spans="1:15" ht="15.75" customHeight="1">
      <c r="A399" s="31"/>
      <c r="B399" s="31"/>
      <c r="C399" s="32"/>
      <c r="D399" s="31"/>
      <c r="E399" s="31"/>
      <c r="F399" s="31"/>
      <c r="G399" s="31"/>
      <c r="H399" s="31"/>
      <c r="I399" s="31"/>
      <c r="J399" s="31"/>
      <c r="K399" s="31"/>
      <c r="L399" s="31"/>
      <c r="M399" s="31"/>
      <c r="N399" s="33"/>
      <c r="O399" s="31"/>
    </row>
    <row r="400" spans="1:15" ht="15.75" customHeight="1">
      <c r="A400" s="31"/>
      <c r="B400" s="31"/>
      <c r="C400" s="32"/>
      <c r="D400" s="31"/>
      <c r="E400" s="31"/>
      <c r="F400" s="31"/>
      <c r="G400" s="31"/>
      <c r="H400" s="31"/>
      <c r="I400" s="31"/>
      <c r="J400" s="31"/>
      <c r="K400" s="31"/>
      <c r="L400" s="31"/>
      <c r="M400" s="31"/>
      <c r="N400" s="33"/>
      <c r="O400" s="31"/>
    </row>
    <row r="401" spans="1:15" ht="15.75" customHeight="1">
      <c r="A401" s="31"/>
      <c r="B401" s="31"/>
      <c r="C401" s="32"/>
      <c r="D401" s="31"/>
      <c r="E401" s="31"/>
      <c r="F401" s="31"/>
      <c r="G401" s="31"/>
      <c r="H401" s="31"/>
      <c r="I401" s="31"/>
      <c r="J401" s="31"/>
      <c r="K401" s="31"/>
      <c r="L401" s="31"/>
      <c r="M401" s="31"/>
      <c r="N401" s="33"/>
      <c r="O401" s="31"/>
    </row>
    <row r="402" spans="1:15" ht="15.75" customHeight="1">
      <c r="A402" s="31"/>
      <c r="B402" s="31"/>
      <c r="C402" s="32"/>
      <c r="D402" s="31"/>
      <c r="E402" s="31"/>
      <c r="F402" s="31"/>
      <c r="G402" s="31"/>
      <c r="H402" s="31"/>
      <c r="I402" s="31"/>
      <c r="J402" s="31"/>
      <c r="K402" s="31"/>
      <c r="L402" s="31"/>
      <c r="M402" s="31"/>
      <c r="N402" s="33"/>
      <c r="O402" s="31"/>
    </row>
    <row r="403" spans="1:15" ht="15.75" customHeight="1">
      <c r="A403" s="31"/>
      <c r="B403" s="31"/>
      <c r="C403" s="32"/>
      <c r="D403" s="31"/>
      <c r="E403" s="31"/>
      <c r="F403" s="31"/>
      <c r="G403" s="31"/>
      <c r="H403" s="31"/>
      <c r="I403" s="31"/>
      <c r="J403" s="31"/>
      <c r="K403" s="31"/>
      <c r="L403" s="31"/>
      <c r="M403" s="31"/>
      <c r="N403" s="33"/>
      <c r="O403" s="31"/>
    </row>
    <row r="404" spans="1:15" ht="15.75" customHeight="1">
      <c r="A404" s="31"/>
      <c r="B404" s="31"/>
      <c r="C404" s="32"/>
      <c r="D404" s="31"/>
      <c r="E404" s="31"/>
      <c r="F404" s="31"/>
      <c r="G404" s="31"/>
      <c r="H404" s="31"/>
      <c r="I404" s="31"/>
      <c r="J404" s="31"/>
      <c r="K404" s="31"/>
      <c r="L404" s="31"/>
      <c r="M404" s="31"/>
      <c r="N404" s="33"/>
      <c r="O404" s="31"/>
    </row>
    <row r="405" spans="1:15" ht="15.75" customHeight="1">
      <c r="A405" s="31"/>
      <c r="B405" s="31"/>
      <c r="C405" s="32"/>
      <c r="D405" s="31"/>
      <c r="E405" s="31"/>
      <c r="F405" s="31"/>
      <c r="G405" s="31"/>
      <c r="H405" s="31"/>
      <c r="I405" s="31"/>
      <c r="J405" s="31"/>
      <c r="K405" s="31"/>
      <c r="L405" s="31"/>
      <c r="M405" s="31"/>
      <c r="N405" s="33"/>
      <c r="O405" s="31"/>
    </row>
    <row r="406" spans="1:15" ht="15.75" customHeight="1">
      <c r="A406" s="31"/>
      <c r="B406" s="31"/>
      <c r="C406" s="32"/>
      <c r="D406" s="31"/>
      <c r="E406" s="31"/>
      <c r="F406" s="31"/>
      <c r="G406" s="31"/>
      <c r="H406" s="31"/>
      <c r="I406" s="31"/>
      <c r="J406" s="31"/>
      <c r="K406" s="31"/>
      <c r="L406" s="31"/>
      <c r="M406" s="31"/>
      <c r="N406" s="33"/>
      <c r="O406" s="31"/>
    </row>
    <row r="407" spans="1:15" ht="15.75" customHeight="1">
      <c r="A407" s="31"/>
      <c r="B407" s="31"/>
      <c r="C407" s="32"/>
      <c r="D407" s="31"/>
      <c r="E407" s="31"/>
      <c r="F407" s="31"/>
      <c r="G407" s="31"/>
      <c r="H407" s="31"/>
      <c r="I407" s="31"/>
      <c r="J407" s="31"/>
      <c r="K407" s="31"/>
      <c r="L407" s="31"/>
      <c r="M407" s="31"/>
      <c r="N407" s="33"/>
      <c r="O407" s="31"/>
    </row>
    <row r="408" spans="1:15" ht="15.75" customHeight="1">
      <c r="A408" s="31"/>
      <c r="B408" s="31"/>
      <c r="C408" s="32"/>
      <c r="D408" s="31"/>
      <c r="E408" s="31"/>
      <c r="F408" s="31"/>
      <c r="G408" s="31"/>
      <c r="H408" s="31"/>
      <c r="I408" s="31"/>
      <c r="J408" s="31"/>
      <c r="K408" s="31"/>
      <c r="L408" s="31"/>
      <c r="M408" s="31"/>
      <c r="N408" s="33"/>
      <c r="O408" s="31"/>
    </row>
    <row r="409" spans="1:15" ht="15.75" customHeight="1">
      <c r="A409" s="31"/>
      <c r="B409" s="31"/>
      <c r="C409" s="32"/>
      <c r="D409" s="31"/>
      <c r="E409" s="31"/>
      <c r="F409" s="31"/>
      <c r="G409" s="31"/>
      <c r="H409" s="31"/>
      <c r="I409" s="31"/>
      <c r="J409" s="31"/>
      <c r="K409" s="31"/>
      <c r="L409" s="31"/>
      <c r="M409" s="31"/>
      <c r="N409" s="33"/>
      <c r="O409" s="31"/>
    </row>
    <row r="410" spans="1:15" ht="15.75" customHeight="1">
      <c r="A410" s="31"/>
      <c r="B410" s="31"/>
      <c r="C410" s="32"/>
      <c r="D410" s="31"/>
      <c r="E410" s="31"/>
      <c r="F410" s="31"/>
      <c r="G410" s="31"/>
      <c r="H410" s="31"/>
      <c r="I410" s="31"/>
      <c r="J410" s="31"/>
      <c r="K410" s="31"/>
      <c r="L410" s="31"/>
      <c r="M410" s="31"/>
      <c r="N410" s="33"/>
      <c r="O410" s="31"/>
    </row>
    <row r="411" spans="1:15" ht="15.75" customHeight="1">
      <c r="A411" s="31"/>
      <c r="B411" s="31"/>
      <c r="C411" s="32"/>
      <c r="D411" s="31"/>
      <c r="E411" s="31"/>
      <c r="F411" s="31"/>
      <c r="G411" s="31"/>
      <c r="H411" s="31"/>
      <c r="I411" s="31"/>
      <c r="J411" s="31"/>
      <c r="K411" s="31"/>
      <c r="L411" s="31"/>
      <c r="M411" s="31"/>
      <c r="N411" s="33"/>
      <c r="O411" s="31"/>
    </row>
    <row r="412" spans="1:15" ht="15.75" customHeight="1">
      <c r="A412" s="31"/>
      <c r="B412" s="31"/>
      <c r="C412" s="32"/>
      <c r="D412" s="31"/>
      <c r="E412" s="31"/>
      <c r="F412" s="31"/>
      <c r="G412" s="31"/>
      <c r="H412" s="31"/>
      <c r="I412" s="31"/>
      <c r="J412" s="31"/>
      <c r="K412" s="31"/>
      <c r="L412" s="31"/>
      <c r="M412" s="31"/>
      <c r="N412" s="33"/>
      <c r="O412" s="31"/>
    </row>
    <row r="413" spans="1:15" ht="15.75" customHeight="1">
      <c r="A413" s="31"/>
      <c r="B413" s="31"/>
      <c r="C413" s="32"/>
      <c r="D413" s="31"/>
      <c r="E413" s="31"/>
      <c r="F413" s="31"/>
      <c r="G413" s="31"/>
      <c r="H413" s="31"/>
      <c r="I413" s="31"/>
      <c r="J413" s="31"/>
      <c r="K413" s="31"/>
      <c r="L413" s="31"/>
      <c r="M413" s="31"/>
      <c r="N413" s="33"/>
      <c r="O413" s="31"/>
    </row>
    <row r="414" spans="1:15" ht="15.75" customHeight="1">
      <c r="A414" s="31"/>
      <c r="B414" s="31"/>
      <c r="C414" s="32"/>
      <c r="D414" s="31"/>
      <c r="E414" s="31"/>
      <c r="F414" s="31"/>
      <c r="G414" s="31"/>
      <c r="H414" s="31"/>
      <c r="I414" s="31"/>
      <c r="J414" s="31"/>
      <c r="K414" s="31"/>
      <c r="L414" s="31"/>
      <c r="M414" s="31"/>
      <c r="N414" s="33"/>
      <c r="O414" s="31"/>
    </row>
    <row r="415" spans="1:15" ht="15.75" customHeight="1">
      <c r="A415" s="31"/>
      <c r="B415" s="31"/>
      <c r="C415" s="32"/>
      <c r="D415" s="31"/>
      <c r="E415" s="31"/>
      <c r="F415" s="31"/>
      <c r="G415" s="31"/>
      <c r="H415" s="31"/>
      <c r="I415" s="31"/>
      <c r="J415" s="31"/>
      <c r="K415" s="31"/>
      <c r="L415" s="31"/>
      <c r="M415" s="31"/>
      <c r="N415" s="33"/>
      <c r="O415" s="31"/>
    </row>
    <row r="416" spans="1:15" ht="15.75" customHeight="1">
      <c r="A416" s="31"/>
      <c r="B416" s="31"/>
      <c r="C416" s="32"/>
      <c r="D416" s="31"/>
      <c r="E416" s="31"/>
      <c r="F416" s="31"/>
      <c r="G416" s="31"/>
      <c r="H416" s="31"/>
      <c r="I416" s="31"/>
      <c r="J416" s="31"/>
      <c r="K416" s="31"/>
      <c r="L416" s="31"/>
      <c r="M416" s="31"/>
      <c r="N416" s="33"/>
      <c r="O416" s="31"/>
    </row>
    <row r="417" spans="1:15" ht="15.75" customHeight="1">
      <c r="A417" s="31"/>
      <c r="B417" s="31"/>
      <c r="C417" s="32"/>
      <c r="D417" s="31"/>
      <c r="E417" s="31"/>
      <c r="F417" s="31"/>
      <c r="G417" s="31"/>
      <c r="H417" s="31"/>
      <c r="I417" s="31"/>
      <c r="J417" s="31"/>
      <c r="K417" s="31"/>
      <c r="L417" s="31"/>
      <c r="M417" s="31"/>
      <c r="N417" s="33"/>
      <c r="O417" s="31"/>
    </row>
    <row r="418" spans="1:15" ht="15.75" customHeight="1">
      <c r="A418" s="31"/>
      <c r="B418" s="31"/>
      <c r="C418" s="32"/>
      <c r="D418" s="31"/>
      <c r="E418" s="31"/>
      <c r="F418" s="31"/>
      <c r="G418" s="31"/>
      <c r="H418" s="31"/>
      <c r="I418" s="31"/>
      <c r="J418" s="31"/>
      <c r="K418" s="31"/>
      <c r="L418" s="31"/>
      <c r="M418" s="31"/>
      <c r="N418" s="33"/>
      <c r="O418" s="31"/>
    </row>
    <row r="419" spans="1:15" ht="15.75" customHeight="1">
      <c r="A419" s="31"/>
      <c r="B419" s="31"/>
      <c r="C419" s="32"/>
      <c r="D419" s="31"/>
      <c r="E419" s="31"/>
      <c r="F419" s="31"/>
      <c r="G419" s="31"/>
      <c r="H419" s="31"/>
      <c r="I419" s="31"/>
      <c r="J419" s="31"/>
      <c r="K419" s="31"/>
      <c r="L419" s="31"/>
      <c r="M419" s="31"/>
      <c r="N419" s="33"/>
      <c r="O419" s="31"/>
    </row>
    <row r="420" spans="1:15" ht="15.75" customHeight="1">
      <c r="A420" s="31"/>
      <c r="B420" s="31"/>
      <c r="C420" s="32"/>
      <c r="D420" s="31"/>
      <c r="E420" s="31"/>
      <c r="F420" s="31"/>
      <c r="G420" s="31"/>
      <c r="H420" s="31"/>
      <c r="I420" s="31"/>
      <c r="J420" s="31"/>
      <c r="K420" s="31"/>
      <c r="L420" s="31"/>
      <c r="M420" s="31"/>
      <c r="N420" s="33"/>
      <c r="O420" s="31"/>
    </row>
    <row r="421" spans="1:15" ht="15.75" customHeight="1">
      <c r="A421" s="31"/>
      <c r="B421" s="31"/>
      <c r="C421" s="32"/>
      <c r="D421" s="31"/>
      <c r="E421" s="31"/>
      <c r="F421" s="31"/>
      <c r="G421" s="31"/>
      <c r="H421" s="31"/>
      <c r="I421" s="31"/>
      <c r="J421" s="31"/>
      <c r="K421" s="31"/>
      <c r="L421" s="31"/>
      <c r="M421" s="31"/>
      <c r="N421" s="33"/>
      <c r="O421" s="31"/>
    </row>
    <row r="422" spans="1:15" ht="15.75" customHeight="1">
      <c r="A422" s="31"/>
      <c r="B422" s="31"/>
      <c r="C422" s="32"/>
      <c r="D422" s="31"/>
      <c r="E422" s="31"/>
      <c r="F422" s="31"/>
      <c r="G422" s="31"/>
      <c r="H422" s="31"/>
      <c r="I422" s="31"/>
      <c r="J422" s="31"/>
      <c r="K422" s="31"/>
      <c r="L422" s="31"/>
      <c r="M422" s="31"/>
      <c r="N422" s="33"/>
      <c r="O422" s="31"/>
    </row>
    <row r="423" spans="1:15" ht="15.75" customHeight="1">
      <c r="A423" s="31"/>
      <c r="B423" s="31"/>
      <c r="C423" s="32"/>
      <c r="D423" s="31"/>
      <c r="E423" s="31"/>
      <c r="F423" s="31"/>
      <c r="G423" s="31"/>
      <c r="H423" s="31"/>
      <c r="I423" s="31"/>
      <c r="J423" s="31"/>
      <c r="K423" s="31"/>
      <c r="L423" s="31"/>
      <c r="M423" s="31"/>
      <c r="N423" s="33"/>
      <c r="O423" s="31"/>
    </row>
    <row r="424" spans="1:15" ht="15.75" customHeight="1">
      <c r="A424" s="31"/>
      <c r="B424" s="31"/>
      <c r="C424" s="32"/>
      <c r="D424" s="31"/>
      <c r="E424" s="31"/>
      <c r="F424" s="31"/>
      <c r="G424" s="31"/>
      <c r="H424" s="31"/>
      <c r="I424" s="31"/>
      <c r="J424" s="31"/>
      <c r="K424" s="31"/>
      <c r="L424" s="31"/>
      <c r="M424" s="31"/>
      <c r="N424" s="33"/>
      <c r="O424" s="31"/>
    </row>
    <row r="425" spans="1:15" ht="15.75" customHeight="1">
      <c r="A425" s="31"/>
      <c r="B425" s="31"/>
      <c r="C425" s="32"/>
      <c r="D425" s="31"/>
      <c r="E425" s="31"/>
      <c r="F425" s="31"/>
      <c r="G425" s="31"/>
      <c r="H425" s="31"/>
      <c r="I425" s="31"/>
      <c r="J425" s="31"/>
      <c r="K425" s="31"/>
      <c r="L425" s="31"/>
      <c r="M425" s="31"/>
      <c r="N425" s="33"/>
      <c r="O425" s="31"/>
    </row>
    <row r="426" spans="1:15" ht="15.75" customHeight="1">
      <c r="A426" s="31"/>
      <c r="B426" s="31"/>
      <c r="C426" s="32"/>
      <c r="D426" s="31"/>
      <c r="E426" s="31"/>
      <c r="F426" s="31"/>
      <c r="G426" s="31"/>
      <c r="H426" s="31"/>
      <c r="I426" s="31"/>
      <c r="J426" s="31"/>
      <c r="K426" s="31"/>
      <c r="L426" s="31"/>
      <c r="M426" s="31"/>
      <c r="N426" s="33"/>
      <c r="O426" s="31"/>
    </row>
    <row r="427" spans="1:15" ht="15.75" customHeight="1">
      <c r="A427" s="31"/>
      <c r="B427" s="31"/>
      <c r="C427" s="32"/>
      <c r="D427" s="31"/>
      <c r="E427" s="31"/>
      <c r="F427" s="31"/>
      <c r="G427" s="31"/>
      <c r="H427" s="31"/>
      <c r="I427" s="31"/>
      <c r="J427" s="31"/>
      <c r="K427" s="31"/>
      <c r="L427" s="31"/>
      <c r="M427" s="31"/>
      <c r="N427" s="33"/>
      <c r="O427" s="31"/>
    </row>
    <row r="428" spans="1:15" ht="15.75" customHeight="1">
      <c r="A428" s="31"/>
      <c r="B428" s="31"/>
      <c r="C428" s="32"/>
      <c r="D428" s="31"/>
      <c r="E428" s="31"/>
      <c r="F428" s="31"/>
      <c r="G428" s="31"/>
      <c r="H428" s="31"/>
      <c r="I428" s="31"/>
      <c r="J428" s="31"/>
      <c r="K428" s="31"/>
      <c r="L428" s="31"/>
      <c r="M428" s="31"/>
      <c r="N428" s="33"/>
      <c r="O428" s="31"/>
    </row>
    <row r="429" spans="1:15" ht="15.75" customHeight="1">
      <c r="A429" s="31"/>
      <c r="B429" s="31"/>
      <c r="C429" s="32"/>
      <c r="D429" s="31"/>
      <c r="E429" s="31"/>
      <c r="F429" s="31"/>
      <c r="G429" s="31"/>
      <c r="H429" s="31"/>
      <c r="I429" s="31"/>
      <c r="J429" s="31"/>
      <c r="K429" s="31"/>
      <c r="L429" s="31"/>
      <c r="M429" s="31"/>
      <c r="N429" s="33"/>
      <c r="O429" s="31"/>
    </row>
    <row r="430" spans="1:15" ht="15.75" customHeight="1">
      <c r="A430" s="31"/>
      <c r="B430" s="31"/>
      <c r="C430" s="32"/>
      <c r="D430" s="31"/>
      <c r="E430" s="31"/>
      <c r="F430" s="31"/>
      <c r="G430" s="31"/>
      <c r="H430" s="31"/>
      <c r="I430" s="31"/>
      <c r="J430" s="31"/>
      <c r="K430" s="31"/>
      <c r="L430" s="31"/>
      <c r="M430" s="31"/>
      <c r="N430" s="33"/>
      <c r="O430" s="31"/>
    </row>
    <row r="431" spans="1:15" ht="15.75" customHeight="1">
      <c r="A431" s="31"/>
      <c r="B431" s="31"/>
      <c r="C431" s="32"/>
      <c r="D431" s="31"/>
      <c r="E431" s="31"/>
      <c r="F431" s="31"/>
      <c r="G431" s="31"/>
      <c r="H431" s="31"/>
      <c r="I431" s="31"/>
      <c r="J431" s="31"/>
      <c r="K431" s="31"/>
      <c r="L431" s="31"/>
      <c r="M431" s="31"/>
      <c r="N431" s="33"/>
      <c r="O431" s="31"/>
    </row>
    <row r="432" spans="1:15" ht="15.75" customHeight="1">
      <c r="A432" s="31"/>
      <c r="B432" s="31"/>
      <c r="C432" s="32"/>
      <c r="D432" s="31"/>
      <c r="E432" s="31"/>
      <c r="F432" s="31"/>
      <c r="G432" s="31"/>
      <c r="H432" s="31"/>
      <c r="I432" s="31"/>
      <c r="J432" s="31"/>
      <c r="K432" s="31"/>
      <c r="L432" s="31"/>
      <c r="M432" s="31"/>
      <c r="N432" s="33"/>
      <c r="O432" s="31"/>
    </row>
    <row r="433" spans="1:15" ht="15.75" customHeight="1">
      <c r="A433" s="31"/>
      <c r="B433" s="31"/>
      <c r="C433" s="32"/>
      <c r="D433" s="31"/>
      <c r="E433" s="31"/>
      <c r="F433" s="31"/>
      <c r="G433" s="31"/>
      <c r="H433" s="31"/>
      <c r="I433" s="31"/>
      <c r="J433" s="31"/>
      <c r="K433" s="31"/>
      <c r="L433" s="31"/>
      <c r="M433" s="31"/>
      <c r="N433" s="33"/>
      <c r="O433" s="31"/>
    </row>
    <row r="434" spans="1:15" ht="15.75" customHeight="1">
      <c r="A434" s="31"/>
      <c r="B434" s="31"/>
      <c r="C434" s="32"/>
      <c r="D434" s="31"/>
      <c r="E434" s="31"/>
      <c r="F434" s="31"/>
      <c r="G434" s="31"/>
      <c r="H434" s="31"/>
      <c r="I434" s="31"/>
      <c r="J434" s="31"/>
      <c r="K434" s="31"/>
      <c r="L434" s="31"/>
      <c r="M434" s="31"/>
      <c r="N434" s="33"/>
      <c r="O434" s="31"/>
    </row>
    <row r="435" spans="1:15" ht="15.75" customHeight="1">
      <c r="A435" s="31"/>
      <c r="B435" s="31"/>
      <c r="C435" s="32"/>
      <c r="D435" s="31"/>
      <c r="E435" s="31"/>
      <c r="F435" s="31"/>
      <c r="G435" s="31"/>
      <c r="H435" s="31"/>
      <c r="I435" s="31"/>
      <c r="J435" s="31"/>
      <c r="K435" s="31"/>
      <c r="L435" s="31"/>
      <c r="M435" s="31"/>
      <c r="N435" s="33"/>
      <c r="O435" s="31"/>
    </row>
    <row r="436" spans="1:15" ht="15.75" customHeight="1">
      <c r="A436" s="31"/>
      <c r="B436" s="31"/>
      <c r="C436" s="32"/>
      <c r="D436" s="31"/>
      <c r="E436" s="31"/>
      <c r="F436" s="31"/>
      <c r="G436" s="31"/>
      <c r="H436" s="31"/>
      <c r="I436" s="31"/>
      <c r="J436" s="31"/>
      <c r="K436" s="31"/>
      <c r="L436" s="31"/>
      <c r="M436" s="31"/>
      <c r="N436" s="33"/>
      <c r="O436" s="31"/>
    </row>
    <row r="437" spans="1:15" ht="15.75" customHeight="1">
      <c r="A437" s="31"/>
      <c r="B437" s="31"/>
      <c r="C437" s="32"/>
      <c r="D437" s="31"/>
      <c r="E437" s="31"/>
      <c r="F437" s="31"/>
      <c r="G437" s="31"/>
      <c r="H437" s="31"/>
      <c r="I437" s="31"/>
      <c r="J437" s="31"/>
      <c r="K437" s="31"/>
      <c r="L437" s="31"/>
      <c r="M437" s="31"/>
      <c r="N437" s="33"/>
      <c r="O437" s="31"/>
    </row>
    <row r="438" spans="1:15" ht="15.75" customHeight="1">
      <c r="A438" s="31"/>
      <c r="B438" s="31"/>
      <c r="C438" s="32"/>
      <c r="D438" s="31"/>
      <c r="E438" s="31"/>
      <c r="F438" s="31"/>
      <c r="G438" s="31"/>
      <c r="H438" s="31"/>
      <c r="I438" s="31"/>
      <c r="J438" s="31"/>
      <c r="K438" s="31"/>
      <c r="L438" s="31"/>
      <c r="M438" s="31"/>
      <c r="N438" s="33"/>
      <c r="O438" s="31"/>
    </row>
    <row r="439" spans="1:15" ht="15.75" customHeight="1">
      <c r="A439" s="31"/>
      <c r="B439" s="31"/>
      <c r="C439" s="32"/>
      <c r="D439" s="31"/>
      <c r="E439" s="31"/>
      <c r="F439" s="31"/>
      <c r="G439" s="31"/>
      <c r="H439" s="31"/>
      <c r="I439" s="31"/>
      <c r="J439" s="31"/>
      <c r="K439" s="31"/>
      <c r="L439" s="31"/>
      <c r="M439" s="31"/>
      <c r="N439" s="33"/>
      <c r="O439" s="31"/>
    </row>
    <row r="440" spans="1:15" ht="15.75" customHeight="1">
      <c r="A440" s="31"/>
      <c r="B440" s="31"/>
      <c r="C440" s="32"/>
      <c r="D440" s="31"/>
      <c r="E440" s="31"/>
      <c r="F440" s="31"/>
      <c r="G440" s="31"/>
      <c r="H440" s="31"/>
      <c r="I440" s="31"/>
      <c r="J440" s="31"/>
      <c r="K440" s="31"/>
      <c r="L440" s="31"/>
      <c r="M440" s="31"/>
      <c r="N440" s="33"/>
      <c r="O440" s="31"/>
    </row>
    <row r="441" spans="1:15" ht="15.75" customHeight="1">
      <c r="A441" s="31"/>
      <c r="B441" s="31"/>
      <c r="C441" s="32"/>
      <c r="D441" s="31"/>
      <c r="E441" s="31"/>
      <c r="F441" s="31"/>
      <c r="G441" s="31"/>
      <c r="H441" s="31"/>
      <c r="I441" s="31"/>
      <c r="J441" s="31"/>
      <c r="K441" s="31"/>
      <c r="L441" s="31"/>
      <c r="M441" s="31"/>
      <c r="N441" s="33"/>
      <c r="O441" s="31"/>
    </row>
    <row r="442" spans="1:15" ht="15.75" customHeight="1">
      <c r="A442" s="31"/>
      <c r="B442" s="31"/>
      <c r="C442" s="32"/>
      <c r="D442" s="31"/>
      <c r="E442" s="31"/>
      <c r="F442" s="31"/>
      <c r="G442" s="31"/>
      <c r="H442" s="31"/>
      <c r="I442" s="31"/>
      <c r="J442" s="31"/>
      <c r="K442" s="31"/>
      <c r="L442" s="31"/>
      <c r="M442" s="31"/>
      <c r="N442" s="33"/>
      <c r="O442" s="31"/>
    </row>
    <row r="443" spans="1:15" ht="15.75" customHeight="1">
      <c r="A443" s="31"/>
      <c r="B443" s="31"/>
      <c r="C443" s="32"/>
      <c r="D443" s="31"/>
      <c r="E443" s="31"/>
      <c r="F443" s="31"/>
      <c r="G443" s="31"/>
      <c r="H443" s="31"/>
      <c r="I443" s="31"/>
      <c r="J443" s="31"/>
      <c r="K443" s="31"/>
      <c r="L443" s="31"/>
      <c r="M443" s="31"/>
      <c r="N443" s="33"/>
      <c r="O443" s="31"/>
    </row>
    <row r="444" spans="1:15" ht="15.75" customHeight="1">
      <c r="A444" s="31"/>
      <c r="B444" s="31"/>
      <c r="C444" s="32"/>
      <c r="D444" s="31"/>
      <c r="E444" s="31"/>
      <c r="F444" s="31"/>
      <c r="G444" s="31"/>
      <c r="H444" s="31"/>
      <c r="I444" s="31"/>
      <c r="J444" s="31"/>
      <c r="K444" s="31"/>
      <c r="L444" s="31"/>
      <c r="M444" s="31"/>
      <c r="N444" s="33"/>
      <c r="O444" s="31"/>
    </row>
    <row r="445" spans="1:15" ht="15.75" customHeight="1">
      <c r="A445" s="31"/>
      <c r="B445" s="31"/>
      <c r="C445" s="32"/>
      <c r="D445" s="31"/>
      <c r="E445" s="31"/>
      <c r="F445" s="31"/>
      <c r="G445" s="31"/>
      <c r="H445" s="31"/>
      <c r="I445" s="31"/>
      <c r="J445" s="31"/>
      <c r="K445" s="31"/>
      <c r="L445" s="31"/>
      <c r="M445" s="31"/>
      <c r="N445" s="33"/>
      <c r="O445" s="31"/>
    </row>
    <row r="446" spans="1:15" ht="15.75" customHeight="1">
      <c r="A446" s="31"/>
      <c r="B446" s="31"/>
      <c r="C446" s="32"/>
      <c r="D446" s="31"/>
      <c r="E446" s="31"/>
      <c r="F446" s="31"/>
      <c r="G446" s="31"/>
      <c r="H446" s="31"/>
      <c r="I446" s="31"/>
      <c r="J446" s="31"/>
      <c r="K446" s="31"/>
      <c r="L446" s="31"/>
      <c r="M446" s="31"/>
      <c r="N446" s="33"/>
      <c r="O446" s="31"/>
    </row>
    <row r="447" spans="1:15" ht="15.75" customHeight="1">
      <c r="A447" s="31"/>
      <c r="B447" s="31"/>
      <c r="C447" s="32"/>
      <c r="D447" s="31"/>
      <c r="E447" s="31"/>
      <c r="F447" s="31"/>
      <c r="G447" s="31"/>
      <c r="H447" s="31"/>
      <c r="I447" s="31"/>
      <c r="J447" s="31"/>
      <c r="K447" s="31"/>
      <c r="L447" s="31"/>
      <c r="M447" s="31"/>
      <c r="N447" s="33"/>
      <c r="O447" s="31"/>
    </row>
    <row r="448" spans="1:15" ht="15.75" customHeight="1">
      <c r="A448" s="31"/>
      <c r="B448" s="31"/>
      <c r="C448" s="32"/>
      <c r="D448" s="31"/>
      <c r="E448" s="31"/>
      <c r="F448" s="31"/>
      <c r="G448" s="31"/>
      <c r="H448" s="31"/>
      <c r="I448" s="31"/>
      <c r="J448" s="31"/>
      <c r="K448" s="31"/>
      <c r="L448" s="31"/>
      <c r="M448" s="31"/>
      <c r="N448" s="33"/>
      <c r="O448" s="31"/>
    </row>
    <row r="449" spans="1:15" ht="15.75" customHeight="1">
      <c r="A449" s="31"/>
      <c r="B449" s="31"/>
      <c r="C449" s="32"/>
      <c r="D449" s="31"/>
      <c r="E449" s="31"/>
      <c r="F449" s="31"/>
      <c r="G449" s="31"/>
      <c r="H449" s="31"/>
      <c r="I449" s="31"/>
      <c r="J449" s="31"/>
      <c r="K449" s="31"/>
      <c r="L449" s="31"/>
      <c r="M449" s="31"/>
      <c r="N449" s="33"/>
      <c r="O449" s="31"/>
    </row>
    <row r="450" spans="1:15" ht="15.75" customHeight="1">
      <c r="A450" s="31"/>
      <c r="B450" s="31"/>
      <c r="C450" s="32"/>
      <c r="D450" s="31"/>
      <c r="E450" s="31"/>
      <c r="F450" s="31"/>
      <c r="G450" s="31"/>
      <c r="H450" s="31"/>
      <c r="I450" s="31"/>
      <c r="J450" s="31"/>
      <c r="K450" s="31"/>
      <c r="L450" s="31"/>
      <c r="M450" s="31"/>
      <c r="N450" s="33"/>
      <c r="O450" s="31"/>
    </row>
    <row r="451" spans="1:15" ht="15.75" customHeight="1">
      <c r="A451" s="31"/>
      <c r="B451" s="31"/>
      <c r="C451" s="32"/>
      <c r="D451" s="31"/>
      <c r="E451" s="31"/>
      <c r="F451" s="31"/>
      <c r="G451" s="31"/>
      <c r="H451" s="31"/>
      <c r="I451" s="31"/>
      <c r="J451" s="31"/>
      <c r="K451" s="31"/>
      <c r="L451" s="31"/>
      <c r="M451" s="31"/>
      <c r="N451" s="33"/>
      <c r="O451" s="31"/>
    </row>
    <row r="452" spans="1:15" ht="15.75" customHeight="1">
      <c r="A452" s="31"/>
      <c r="B452" s="31"/>
      <c r="C452" s="32"/>
      <c r="D452" s="31"/>
      <c r="E452" s="31"/>
      <c r="F452" s="31"/>
      <c r="G452" s="31"/>
      <c r="H452" s="31"/>
      <c r="I452" s="31"/>
      <c r="J452" s="31"/>
      <c r="K452" s="31"/>
      <c r="L452" s="31"/>
      <c r="M452" s="31"/>
      <c r="N452" s="33"/>
      <c r="O452" s="31"/>
    </row>
    <row r="453" spans="1:15" ht="15.75" customHeight="1">
      <c r="A453" s="31"/>
      <c r="B453" s="31"/>
      <c r="C453" s="32"/>
      <c r="D453" s="31"/>
      <c r="E453" s="31"/>
      <c r="F453" s="31"/>
      <c r="G453" s="31"/>
      <c r="H453" s="31"/>
      <c r="I453" s="31"/>
      <c r="J453" s="31"/>
      <c r="K453" s="31"/>
      <c r="L453" s="31"/>
      <c r="M453" s="31"/>
      <c r="N453" s="33"/>
      <c r="O453" s="31"/>
    </row>
    <row r="454" spans="1:15" ht="15.75" customHeight="1">
      <c r="A454" s="31"/>
      <c r="B454" s="31"/>
      <c r="C454" s="32"/>
      <c r="D454" s="31"/>
      <c r="E454" s="31"/>
      <c r="F454" s="31"/>
      <c r="G454" s="31"/>
      <c r="H454" s="31"/>
      <c r="I454" s="31"/>
      <c r="J454" s="31"/>
      <c r="K454" s="31"/>
      <c r="L454" s="31"/>
      <c r="M454" s="31"/>
      <c r="N454" s="33"/>
      <c r="O454" s="31"/>
    </row>
    <row r="455" spans="1:15" ht="15.75" customHeight="1">
      <c r="A455" s="31"/>
      <c r="B455" s="31"/>
      <c r="C455" s="32"/>
      <c r="D455" s="31"/>
      <c r="E455" s="31"/>
      <c r="F455" s="31"/>
      <c r="G455" s="31"/>
      <c r="H455" s="31"/>
      <c r="I455" s="31"/>
      <c r="J455" s="31"/>
      <c r="K455" s="31"/>
      <c r="L455" s="31"/>
      <c r="M455" s="31"/>
      <c r="N455" s="33"/>
      <c r="O455" s="31"/>
    </row>
    <row r="456" spans="1:15" ht="15.75" customHeight="1">
      <c r="A456" s="31"/>
      <c r="B456" s="31"/>
      <c r="C456" s="32"/>
      <c r="D456" s="31"/>
      <c r="E456" s="31"/>
      <c r="F456" s="31"/>
      <c r="G456" s="31"/>
      <c r="H456" s="31"/>
      <c r="I456" s="31"/>
      <c r="J456" s="31"/>
      <c r="K456" s="31"/>
      <c r="L456" s="31"/>
      <c r="M456" s="31"/>
      <c r="N456" s="33"/>
      <c r="O456" s="31"/>
    </row>
    <row r="457" spans="1:15" ht="15.75" customHeight="1">
      <c r="A457" s="31"/>
      <c r="B457" s="31"/>
      <c r="C457" s="32"/>
      <c r="D457" s="31"/>
      <c r="E457" s="31"/>
      <c r="F457" s="31"/>
      <c r="G457" s="31"/>
      <c r="H457" s="31"/>
      <c r="I457" s="31"/>
      <c r="J457" s="31"/>
      <c r="K457" s="31"/>
      <c r="L457" s="31"/>
      <c r="M457" s="31"/>
      <c r="N457" s="33"/>
      <c r="O457" s="31"/>
    </row>
    <row r="458" spans="1:15" ht="15.75" customHeight="1">
      <c r="A458" s="31"/>
      <c r="B458" s="31"/>
      <c r="C458" s="32"/>
      <c r="D458" s="31"/>
      <c r="E458" s="31"/>
      <c r="F458" s="31"/>
      <c r="G458" s="31"/>
      <c r="H458" s="31"/>
      <c r="I458" s="31"/>
      <c r="J458" s="31"/>
      <c r="K458" s="31"/>
      <c r="L458" s="31"/>
      <c r="M458" s="31"/>
      <c r="N458" s="33"/>
      <c r="O458" s="31"/>
    </row>
    <row r="459" spans="1:15" ht="15.75" customHeight="1">
      <c r="A459" s="31"/>
      <c r="B459" s="31"/>
      <c r="C459" s="32"/>
      <c r="D459" s="31"/>
      <c r="E459" s="31"/>
      <c r="F459" s="31"/>
      <c r="G459" s="31"/>
      <c r="H459" s="31"/>
      <c r="I459" s="31"/>
      <c r="J459" s="31"/>
      <c r="K459" s="31"/>
      <c r="L459" s="31"/>
      <c r="M459" s="31"/>
      <c r="N459" s="33"/>
      <c r="O459" s="31"/>
    </row>
    <row r="460" spans="1:15" ht="15.75" customHeight="1">
      <c r="A460" s="31"/>
      <c r="B460" s="31"/>
      <c r="C460" s="32"/>
      <c r="D460" s="31"/>
      <c r="E460" s="31"/>
      <c r="F460" s="31"/>
      <c r="G460" s="31"/>
      <c r="H460" s="31"/>
      <c r="I460" s="31"/>
      <c r="J460" s="31"/>
      <c r="K460" s="31"/>
      <c r="L460" s="31"/>
      <c r="M460" s="31"/>
      <c r="N460" s="33"/>
      <c r="O460" s="31"/>
    </row>
    <row r="461" spans="1:15" ht="15.75" customHeight="1">
      <c r="A461" s="31"/>
      <c r="B461" s="31"/>
      <c r="C461" s="32"/>
      <c r="D461" s="31"/>
      <c r="E461" s="31"/>
      <c r="F461" s="31"/>
      <c r="G461" s="31"/>
      <c r="H461" s="31"/>
      <c r="I461" s="31"/>
      <c r="J461" s="31"/>
      <c r="K461" s="31"/>
      <c r="L461" s="31"/>
      <c r="M461" s="31"/>
      <c r="N461" s="33"/>
      <c r="O461" s="31"/>
    </row>
    <row r="462" spans="1:15" ht="15.75" customHeight="1">
      <c r="A462" s="31"/>
      <c r="B462" s="31"/>
      <c r="C462" s="32"/>
      <c r="D462" s="31"/>
      <c r="E462" s="31"/>
      <c r="F462" s="31"/>
      <c r="G462" s="31"/>
      <c r="H462" s="31"/>
      <c r="I462" s="31"/>
      <c r="J462" s="31"/>
      <c r="K462" s="31"/>
      <c r="L462" s="31"/>
      <c r="M462" s="31"/>
      <c r="N462" s="33"/>
      <c r="O462" s="31"/>
    </row>
    <row r="463" spans="1:15" ht="15.75" customHeight="1">
      <c r="A463" s="31"/>
      <c r="B463" s="31"/>
      <c r="C463" s="32"/>
      <c r="D463" s="31"/>
      <c r="E463" s="31"/>
      <c r="F463" s="31"/>
      <c r="G463" s="31"/>
      <c r="H463" s="31"/>
      <c r="I463" s="31"/>
      <c r="J463" s="31"/>
      <c r="K463" s="31"/>
      <c r="L463" s="31"/>
      <c r="M463" s="31"/>
      <c r="N463" s="33"/>
      <c r="O463" s="31"/>
    </row>
    <row r="464" spans="1:15" ht="15.75" customHeight="1">
      <c r="A464" s="31"/>
      <c r="B464" s="31"/>
      <c r="C464" s="32"/>
      <c r="D464" s="31"/>
      <c r="E464" s="31"/>
      <c r="F464" s="31"/>
      <c r="G464" s="31"/>
      <c r="H464" s="31"/>
      <c r="I464" s="31"/>
      <c r="J464" s="31"/>
      <c r="K464" s="31"/>
      <c r="L464" s="31"/>
      <c r="M464" s="31"/>
      <c r="N464" s="33"/>
      <c r="O464" s="31"/>
    </row>
    <row r="465" spans="1:15" ht="15.75" customHeight="1">
      <c r="A465" s="31"/>
      <c r="B465" s="31"/>
      <c r="C465" s="32"/>
      <c r="D465" s="31"/>
      <c r="E465" s="31"/>
      <c r="F465" s="31"/>
      <c r="G465" s="31"/>
      <c r="H465" s="31"/>
      <c r="I465" s="31"/>
      <c r="J465" s="31"/>
      <c r="K465" s="31"/>
      <c r="L465" s="31"/>
      <c r="M465" s="31"/>
      <c r="N465" s="33"/>
      <c r="O465" s="31"/>
    </row>
    <row r="466" spans="1:15" ht="15.75" customHeight="1">
      <c r="A466" s="31"/>
      <c r="B466" s="31"/>
      <c r="C466" s="32"/>
      <c r="D466" s="31"/>
      <c r="E466" s="31"/>
      <c r="F466" s="31"/>
      <c r="G466" s="31"/>
      <c r="H466" s="31"/>
      <c r="I466" s="31"/>
      <c r="J466" s="31"/>
      <c r="K466" s="31"/>
      <c r="L466" s="31"/>
      <c r="M466" s="31"/>
      <c r="N466" s="33"/>
      <c r="O466" s="31"/>
    </row>
    <row r="467" spans="1:15" ht="15.75" customHeight="1">
      <c r="A467" s="31"/>
      <c r="B467" s="31"/>
      <c r="C467" s="32"/>
      <c r="D467" s="31"/>
      <c r="E467" s="31"/>
      <c r="F467" s="31"/>
      <c r="G467" s="31"/>
      <c r="H467" s="31"/>
      <c r="I467" s="31"/>
      <c r="J467" s="31"/>
      <c r="K467" s="31"/>
      <c r="L467" s="31"/>
      <c r="M467" s="31"/>
      <c r="N467" s="33"/>
      <c r="O467" s="31"/>
    </row>
    <row r="468" spans="1:15" ht="15.75" customHeight="1">
      <c r="A468" s="31"/>
      <c r="B468" s="31"/>
      <c r="C468" s="32"/>
      <c r="D468" s="31"/>
      <c r="E468" s="31"/>
      <c r="F468" s="31"/>
      <c r="G468" s="31"/>
      <c r="H468" s="31"/>
      <c r="I468" s="31"/>
      <c r="J468" s="31"/>
      <c r="K468" s="31"/>
      <c r="L468" s="31"/>
      <c r="M468" s="31"/>
      <c r="N468" s="33"/>
      <c r="O468" s="31"/>
    </row>
    <row r="469" spans="1:15" ht="15.75" customHeight="1">
      <c r="A469" s="31"/>
      <c r="B469" s="31"/>
      <c r="C469" s="32"/>
      <c r="D469" s="31"/>
      <c r="E469" s="31"/>
      <c r="F469" s="31"/>
      <c r="G469" s="31"/>
      <c r="H469" s="31"/>
      <c r="I469" s="31"/>
      <c r="J469" s="31"/>
      <c r="K469" s="31"/>
      <c r="L469" s="31"/>
      <c r="M469" s="31"/>
      <c r="N469" s="33"/>
      <c r="O469" s="31"/>
    </row>
    <row r="470" spans="1:15" ht="15.75" customHeight="1">
      <c r="A470" s="31"/>
      <c r="B470" s="31"/>
      <c r="C470" s="32"/>
      <c r="D470" s="31"/>
      <c r="E470" s="31"/>
      <c r="F470" s="31"/>
      <c r="G470" s="31"/>
      <c r="H470" s="31"/>
      <c r="I470" s="31"/>
      <c r="J470" s="31"/>
      <c r="K470" s="31"/>
      <c r="L470" s="31"/>
      <c r="M470" s="31"/>
      <c r="N470" s="33"/>
      <c r="O470" s="31"/>
    </row>
    <row r="471" spans="1:15" ht="15.75" customHeight="1">
      <c r="A471" s="31"/>
      <c r="B471" s="31"/>
      <c r="C471" s="32"/>
      <c r="D471" s="31"/>
      <c r="E471" s="31"/>
      <c r="F471" s="31"/>
      <c r="G471" s="31"/>
      <c r="H471" s="31"/>
      <c r="I471" s="31"/>
      <c r="J471" s="31"/>
      <c r="K471" s="31"/>
      <c r="L471" s="31"/>
      <c r="M471" s="31"/>
      <c r="N471" s="33"/>
      <c r="O471" s="31"/>
    </row>
    <row r="472" spans="1:15" ht="15.75" customHeight="1">
      <c r="A472" s="31"/>
      <c r="B472" s="31"/>
      <c r="C472" s="32"/>
      <c r="D472" s="31"/>
      <c r="E472" s="31"/>
      <c r="F472" s="31"/>
      <c r="G472" s="31"/>
      <c r="H472" s="31"/>
      <c r="I472" s="31"/>
      <c r="J472" s="31"/>
      <c r="K472" s="31"/>
      <c r="L472" s="31"/>
      <c r="M472" s="31"/>
      <c r="N472" s="33"/>
      <c r="O472" s="31"/>
    </row>
    <row r="473" spans="1:15" ht="15.75" customHeight="1">
      <c r="A473" s="31"/>
      <c r="B473" s="31"/>
      <c r="C473" s="32"/>
      <c r="D473" s="31"/>
      <c r="E473" s="31"/>
      <c r="F473" s="31"/>
      <c r="G473" s="31"/>
      <c r="H473" s="31"/>
      <c r="I473" s="31"/>
      <c r="J473" s="31"/>
      <c r="K473" s="31"/>
      <c r="L473" s="31"/>
      <c r="M473" s="31"/>
      <c r="N473" s="33"/>
      <c r="O473" s="31"/>
    </row>
    <row r="474" spans="1:15" ht="15.75" customHeight="1">
      <c r="A474" s="31"/>
      <c r="B474" s="31"/>
      <c r="C474" s="32"/>
      <c r="D474" s="31"/>
      <c r="E474" s="31"/>
      <c r="F474" s="31"/>
      <c r="G474" s="31"/>
      <c r="H474" s="31"/>
      <c r="I474" s="31"/>
      <c r="J474" s="31"/>
      <c r="K474" s="31"/>
      <c r="L474" s="31"/>
      <c r="M474" s="31"/>
      <c r="N474" s="33"/>
      <c r="O474" s="31"/>
    </row>
    <row r="475" spans="1:15" ht="15.75" customHeight="1">
      <c r="A475" s="31"/>
      <c r="B475" s="31"/>
      <c r="C475" s="32"/>
      <c r="D475" s="31"/>
      <c r="E475" s="31"/>
      <c r="F475" s="31"/>
      <c r="G475" s="31"/>
      <c r="H475" s="31"/>
      <c r="I475" s="31"/>
      <c r="J475" s="31"/>
      <c r="K475" s="31"/>
      <c r="L475" s="31"/>
      <c r="M475" s="31"/>
      <c r="N475" s="33"/>
      <c r="O475" s="31"/>
    </row>
    <row r="476" spans="1:15" ht="15.75" customHeight="1">
      <c r="A476" s="31"/>
      <c r="B476" s="31"/>
      <c r="C476" s="32"/>
      <c r="D476" s="31"/>
      <c r="E476" s="31"/>
      <c r="F476" s="31"/>
      <c r="G476" s="31"/>
      <c r="H476" s="31"/>
      <c r="I476" s="31"/>
      <c r="J476" s="31"/>
      <c r="K476" s="31"/>
      <c r="L476" s="31"/>
      <c r="M476" s="31"/>
      <c r="N476" s="33"/>
      <c r="O476" s="31"/>
    </row>
    <row r="477" spans="1:15" ht="15.75" customHeight="1">
      <c r="A477" s="31"/>
      <c r="B477" s="31"/>
      <c r="C477" s="32"/>
      <c r="D477" s="31"/>
      <c r="E477" s="31"/>
      <c r="F477" s="31"/>
      <c r="G477" s="31"/>
      <c r="H477" s="31"/>
      <c r="I477" s="31"/>
      <c r="J477" s="31"/>
      <c r="K477" s="31"/>
      <c r="L477" s="31"/>
      <c r="M477" s="31"/>
      <c r="N477" s="33"/>
      <c r="O477" s="31"/>
    </row>
    <row r="478" spans="1:15" ht="15.75" customHeight="1">
      <c r="A478" s="31"/>
      <c r="B478" s="31"/>
      <c r="C478" s="32"/>
      <c r="D478" s="31"/>
      <c r="E478" s="31"/>
      <c r="F478" s="31"/>
      <c r="G478" s="31"/>
      <c r="H478" s="31"/>
      <c r="I478" s="31"/>
      <c r="J478" s="31"/>
      <c r="K478" s="31"/>
      <c r="L478" s="31"/>
      <c r="M478" s="31"/>
      <c r="N478" s="33"/>
      <c r="O478" s="31"/>
    </row>
    <row r="479" spans="1:15" ht="15.75" customHeight="1">
      <c r="A479" s="31"/>
      <c r="B479" s="31"/>
      <c r="C479" s="32"/>
      <c r="D479" s="31"/>
      <c r="E479" s="31"/>
      <c r="F479" s="31"/>
      <c r="G479" s="31"/>
      <c r="H479" s="31"/>
      <c r="I479" s="31"/>
      <c r="J479" s="31"/>
      <c r="K479" s="31"/>
      <c r="L479" s="31"/>
      <c r="M479" s="31"/>
      <c r="N479" s="33"/>
      <c r="O479" s="31"/>
    </row>
    <row r="480" spans="1:15" ht="15.75" customHeight="1">
      <c r="A480" s="31"/>
      <c r="B480" s="31"/>
      <c r="C480" s="32"/>
      <c r="D480" s="31"/>
      <c r="E480" s="31"/>
      <c r="F480" s="31"/>
      <c r="G480" s="31"/>
      <c r="H480" s="31"/>
      <c r="I480" s="31"/>
      <c r="J480" s="31"/>
      <c r="K480" s="31"/>
      <c r="L480" s="31"/>
      <c r="M480" s="31"/>
      <c r="N480" s="33"/>
      <c r="O480" s="31"/>
    </row>
    <row r="481" spans="1:15" ht="15.75" customHeight="1">
      <c r="A481" s="31"/>
      <c r="B481" s="31"/>
      <c r="C481" s="32"/>
      <c r="D481" s="31"/>
      <c r="E481" s="31"/>
      <c r="F481" s="31"/>
      <c r="G481" s="31"/>
      <c r="H481" s="31"/>
      <c r="I481" s="31"/>
      <c r="J481" s="31"/>
      <c r="K481" s="31"/>
      <c r="L481" s="31"/>
      <c r="M481" s="31"/>
      <c r="N481" s="33"/>
      <c r="O481" s="31"/>
    </row>
    <row r="482" spans="1:15" ht="15.75" customHeight="1">
      <c r="A482" s="31"/>
      <c r="B482" s="31"/>
      <c r="C482" s="32"/>
      <c r="D482" s="31"/>
      <c r="E482" s="31"/>
      <c r="F482" s="31"/>
      <c r="G482" s="31"/>
      <c r="H482" s="31"/>
      <c r="I482" s="31"/>
      <c r="J482" s="31"/>
      <c r="K482" s="31"/>
      <c r="L482" s="31"/>
      <c r="M482" s="31"/>
      <c r="N482" s="33"/>
      <c r="O482" s="31"/>
    </row>
    <row r="483" spans="1:15" ht="15.75" customHeight="1">
      <c r="A483" s="31"/>
      <c r="B483" s="31"/>
      <c r="C483" s="32"/>
      <c r="D483" s="31"/>
      <c r="E483" s="31"/>
      <c r="F483" s="31"/>
      <c r="G483" s="31"/>
      <c r="H483" s="31"/>
      <c r="I483" s="31"/>
      <c r="J483" s="31"/>
      <c r="K483" s="31"/>
      <c r="L483" s="31"/>
      <c r="M483" s="31"/>
      <c r="N483" s="33"/>
      <c r="O483" s="31"/>
    </row>
    <row r="484" spans="1:15" ht="15.75" customHeight="1">
      <c r="A484" s="31"/>
      <c r="B484" s="31"/>
      <c r="C484" s="32"/>
      <c r="D484" s="31"/>
      <c r="E484" s="31"/>
      <c r="F484" s="31"/>
      <c r="G484" s="31"/>
      <c r="H484" s="31"/>
      <c r="I484" s="31"/>
      <c r="J484" s="31"/>
      <c r="K484" s="31"/>
      <c r="L484" s="31"/>
      <c r="M484" s="31"/>
      <c r="N484" s="33"/>
      <c r="O484" s="31"/>
    </row>
    <row r="485" spans="1:15" ht="15.75" customHeight="1">
      <c r="A485" s="31"/>
      <c r="B485" s="31"/>
      <c r="C485" s="32"/>
      <c r="D485" s="31"/>
      <c r="E485" s="31"/>
      <c r="F485" s="31"/>
      <c r="G485" s="31"/>
      <c r="H485" s="31"/>
      <c r="I485" s="31"/>
      <c r="J485" s="31"/>
      <c r="K485" s="31"/>
      <c r="L485" s="31"/>
      <c r="M485" s="31"/>
      <c r="N485" s="33"/>
      <c r="O485" s="31"/>
    </row>
    <row r="486" spans="1:15" ht="15.75" customHeight="1">
      <c r="A486" s="31"/>
      <c r="B486" s="31"/>
      <c r="C486" s="32"/>
      <c r="D486" s="31"/>
      <c r="E486" s="31"/>
      <c r="F486" s="31"/>
      <c r="G486" s="31"/>
      <c r="H486" s="31"/>
      <c r="I486" s="31"/>
      <c r="J486" s="31"/>
      <c r="K486" s="31"/>
      <c r="L486" s="31"/>
      <c r="M486" s="31"/>
      <c r="N486" s="33"/>
      <c r="O486" s="31"/>
    </row>
    <row r="487" spans="1:15" ht="15.75" customHeight="1">
      <c r="A487" s="31"/>
      <c r="B487" s="31"/>
      <c r="C487" s="32"/>
      <c r="D487" s="31"/>
      <c r="E487" s="31"/>
      <c r="F487" s="31"/>
      <c r="G487" s="31"/>
      <c r="H487" s="31"/>
      <c r="I487" s="31"/>
      <c r="J487" s="31"/>
      <c r="K487" s="31"/>
      <c r="L487" s="31"/>
      <c r="M487" s="31"/>
      <c r="N487" s="33"/>
      <c r="O487" s="31"/>
    </row>
    <row r="488" spans="1:15" ht="15.75" customHeight="1">
      <c r="A488" s="31"/>
      <c r="B488" s="31"/>
      <c r="C488" s="32"/>
      <c r="D488" s="31"/>
      <c r="E488" s="31"/>
      <c r="F488" s="31"/>
      <c r="G488" s="31"/>
      <c r="H488" s="31"/>
      <c r="I488" s="31"/>
      <c r="J488" s="31"/>
      <c r="K488" s="31"/>
      <c r="L488" s="31"/>
      <c r="M488" s="31"/>
      <c r="N488" s="33"/>
      <c r="O488" s="31"/>
    </row>
    <row r="489" spans="1:15" ht="15.75" customHeight="1">
      <c r="A489" s="31"/>
      <c r="B489" s="31"/>
      <c r="C489" s="32"/>
      <c r="D489" s="31"/>
      <c r="E489" s="31"/>
      <c r="F489" s="31"/>
      <c r="G489" s="31"/>
      <c r="H489" s="31"/>
      <c r="I489" s="31"/>
      <c r="J489" s="31"/>
      <c r="K489" s="31"/>
      <c r="L489" s="31"/>
      <c r="M489" s="31"/>
      <c r="N489" s="33"/>
      <c r="O489" s="31"/>
    </row>
    <row r="490" spans="1:15" ht="15.75" customHeight="1">
      <c r="A490" s="31"/>
      <c r="B490" s="31"/>
      <c r="C490" s="32"/>
      <c r="D490" s="31"/>
      <c r="E490" s="31"/>
      <c r="F490" s="31"/>
      <c r="G490" s="31"/>
      <c r="H490" s="31"/>
      <c r="I490" s="31"/>
      <c r="J490" s="31"/>
      <c r="K490" s="31"/>
      <c r="L490" s="31"/>
      <c r="M490" s="31"/>
      <c r="N490" s="33"/>
      <c r="O490" s="31"/>
    </row>
    <row r="491" spans="1:15" ht="15.75" customHeight="1">
      <c r="A491" s="31"/>
      <c r="B491" s="31"/>
      <c r="C491" s="32"/>
      <c r="D491" s="31"/>
      <c r="E491" s="31"/>
      <c r="F491" s="31"/>
      <c r="G491" s="31"/>
      <c r="H491" s="31"/>
      <c r="I491" s="31"/>
      <c r="J491" s="31"/>
      <c r="K491" s="31"/>
      <c r="L491" s="31"/>
      <c r="M491" s="31"/>
      <c r="N491" s="33"/>
      <c r="O491" s="31"/>
    </row>
    <row r="492" spans="1:15" ht="15.75" customHeight="1">
      <c r="A492" s="31"/>
      <c r="B492" s="31"/>
      <c r="C492" s="32"/>
      <c r="D492" s="31"/>
      <c r="E492" s="31"/>
      <c r="F492" s="31"/>
      <c r="G492" s="31"/>
      <c r="H492" s="31"/>
      <c r="I492" s="31"/>
      <c r="J492" s="31"/>
      <c r="K492" s="31"/>
      <c r="L492" s="31"/>
      <c r="M492" s="31"/>
      <c r="N492" s="33"/>
      <c r="O492" s="31"/>
    </row>
    <row r="493" spans="1:15" ht="15.75" customHeight="1">
      <c r="A493" s="31"/>
      <c r="B493" s="31"/>
      <c r="C493" s="32"/>
      <c r="D493" s="31"/>
      <c r="E493" s="31"/>
      <c r="F493" s="31"/>
      <c r="G493" s="31"/>
      <c r="H493" s="31"/>
      <c r="I493" s="31"/>
      <c r="J493" s="31"/>
      <c r="K493" s="31"/>
      <c r="L493" s="31"/>
      <c r="M493" s="31"/>
      <c r="N493" s="33"/>
      <c r="O493" s="31"/>
    </row>
    <row r="494" spans="1:15" ht="15.75" customHeight="1">
      <c r="A494" s="31"/>
      <c r="B494" s="31"/>
      <c r="C494" s="32"/>
      <c r="D494" s="31"/>
      <c r="E494" s="31"/>
      <c r="F494" s="31"/>
      <c r="G494" s="31"/>
      <c r="H494" s="31"/>
      <c r="I494" s="31"/>
      <c r="J494" s="31"/>
      <c r="K494" s="31"/>
      <c r="L494" s="31"/>
      <c r="M494" s="31"/>
      <c r="N494" s="33"/>
      <c r="O494" s="31"/>
    </row>
    <row r="495" spans="1:15" ht="15.75" customHeight="1">
      <c r="A495" s="31"/>
      <c r="B495" s="31"/>
      <c r="C495" s="32"/>
      <c r="D495" s="31"/>
      <c r="E495" s="31"/>
      <c r="F495" s="31"/>
      <c r="G495" s="31"/>
      <c r="H495" s="31"/>
      <c r="I495" s="31"/>
      <c r="J495" s="31"/>
      <c r="K495" s="31"/>
      <c r="L495" s="31"/>
      <c r="M495" s="31"/>
      <c r="N495" s="33"/>
      <c r="O495" s="31"/>
    </row>
    <row r="496" spans="1:15" ht="15.75" customHeight="1">
      <c r="A496" s="31"/>
      <c r="B496" s="31"/>
      <c r="C496" s="32"/>
      <c r="D496" s="31"/>
      <c r="E496" s="31"/>
      <c r="F496" s="31"/>
      <c r="G496" s="31"/>
      <c r="H496" s="31"/>
      <c r="I496" s="31"/>
      <c r="J496" s="31"/>
      <c r="K496" s="31"/>
      <c r="L496" s="31"/>
      <c r="M496" s="31"/>
      <c r="N496" s="33"/>
      <c r="O496" s="31"/>
    </row>
    <row r="497" spans="1:15" ht="15.75" customHeight="1">
      <c r="A497" s="31"/>
      <c r="B497" s="31"/>
      <c r="C497" s="32"/>
      <c r="D497" s="31"/>
      <c r="E497" s="31"/>
      <c r="F497" s="31"/>
      <c r="G497" s="31"/>
      <c r="H497" s="31"/>
      <c r="I497" s="31"/>
      <c r="J497" s="31"/>
      <c r="K497" s="31"/>
      <c r="L497" s="31"/>
      <c r="M497" s="31"/>
      <c r="N497" s="33"/>
      <c r="O497" s="31"/>
    </row>
    <row r="498" spans="1:15" ht="15.75" customHeight="1">
      <c r="A498" s="31"/>
      <c r="B498" s="31"/>
      <c r="C498" s="32"/>
      <c r="D498" s="31"/>
      <c r="E498" s="31"/>
      <c r="F498" s="31"/>
      <c r="G498" s="31"/>
      <c r="H498" s="31"/>
      <c r="I498" s="31"/>
      <c r="J498" s="31"/>
      <c r="K498" s="31"/>
      <c r="L498" s="31"/>
      <c r="M498" s="31"/>
      <c r="N498" s="33"/>
      <c r="O498" s="31"/>
    </row>
    <row r="499" spans="1:15" ht="15.75" customHeight="1">
      <c r="A499" s="31"/>
      <c r="B499" s="31"/>
      <c r="C499" s="32"/>
      <c r="D499" s="31"/>
      <c r="E499" s="31"/>
      <c r="F499" s="31"/>
      <c r="G499" s="31"/>
      <c r="H499" s="31"/>
      <c r="I499" s="31"/>
      <c r="J499" s="31"/>
      <c r="K499" s="31"/>
      <c r="L499" s="31"/>
      <c r="M499" s="31"/>
      <c r="N499" s="33"/>
      <c r="O499" s="31"/>
    </row>
    <row r="500" spans="1:15" ht="15.75" customHeight="1">
      <c r="A500" s="31"/>
      <c r="B500" s="31"/>
      <c r="C500" s="32"/>
      <c r="D500" s="31"/>
      <c r="E500" s="31"/>
      <c r="F500" s="31"/>
      <c r="G500" s="31"/>
      <c r="H500" s="31"/>
      <c r="I500" s="31"/>
      <c r="J500" s="31"/>
      <c r="K500" s="31"/>
      <c r="L500" s="31"/>
      <c r="M500" s="31"/>
      <c r="N500" s="33"/>
      <c r="O500" s="31"/>
    </row>
    <row r="501" spans="1:15" ht="15.75" customHeight="1">
      <c r="A501" s="31"/>
      <c r="B501" s="31"/>
      <c r="C501" s="32"/>
      <c r="D501" s="31"/>
      <c r="E501" s="31"/>
      <c r="F501" s="31"/>
      <c r="G501" s="31"/>
      <c r="H501" s="31"/>
      <c r="I501" s="31"/>
      <c r="J501" s="31"/>
      <c r="K501" s="31"/>
      <c r="L501" s="31"/>
      <c r="M501" s="31"/>
      <c r="N501" s="33"/>
      <c r="O501" s="31"/>
    </row>
    <row r="502" spans="1:15" ht="15.75" customHeight="1">
      <c r="A502" s="31"/>
      <c r="B502" s="31"/>
      <c r="C502" s="32"/>
      <c r="D502" s="31"/>
      <c r="E502" s="31"/>
      <c r="F502" s="31"/>
      <c r="G502" s="31"/>
      <c r="H502" s="31"/>
      <c r="I502" s="31"/>
      <c r="J502" s="31"/>
      <c r="K502" s="31"/>
      <c r="L502" s="31"/>
      <c r="M502" s="31"/>
      <c r="N502" s="33"/>
      <c r="O502" s="31"/>
    </row>
    <row r="503" spans="1:15" ht="15.75" customHeight="1">
      <c r="A503" s="31"/>
      <c r="B503" s="31"/>
      <c r="C503" s="32"/>
      <c r="D503" s="31"/>
      <c r="E503" s="31"/>
      <c r="F503" s="31"/>
      <c r="G503" s="31"/>
      <c r="H503" s="31"/>
      <c r="I503" s="31"/>
      <c r="J503" s="31"/>
      <c r="K503" s="31"/>
      <c r="L503" s="31"/>
      <c r="M503" s="31"/>
      <c r="N503" s="33"/>
      <c r="O503" s="31"/>
    </row>
    <row r="504" spans="1:15" ht="15.75" customHeight="1">
      <c r="A504" s="31"/>
      <c r="B504" s="31"/>
      <c r="C504" s="32"/>
      <c r="D504" s="31"/>
      <c r="E504" s="31"/>
      <c r="F504" s="31"/>
      <c r="G504" s="31"/>
      <c r="H504" s="31"/>
      <c r="I504" s="31"/>
      <c r="J504" s="31"/>
      <c r="K504" s="31"/>
      <c r="L504" s="31"/>
      <c r="M504" s="31"/>
      <c r="N504" s="33"/>
      <c r="O504" s="31"/>
    </row>
    <row r="505" spans="1:15" ht="15.75" customHeight="1">
      <c r="A505" s="31"/>
      <c r="B505" s="31"/>
      <c r="C505" s="32"/>
      <c r="D505" s="31"/>
      <c r="E505" s="31"/>
      <c r="F505" s="31"/>
      <c r="G505" s="31"/>
      <c r="H505" s="31"/>
      <c r="I505" s="31"/>
      <c r="J505" s="31"/>
      <c r="K505" s="31"/>
      <c r="L505" s="31"/>
      <c r="M505" s="31"/>
      <c r="N505" s="33"/>
      <c r="O505" s="31"/>
    </row>
    <row r="506" spans="1:15" ht="15.75" customHeight="1">
      <c r="A506" s="31"/>
      <c r="B506" s="31"/>
      <c r="C506" s="32"/>
      <c r="D506" s="31"/>
      <c r="E506" s="31"/>
      <c r="F506" s="31"/>
      <c r="G506" s="31"/>
      <c r="H506" s="31"/>
      <c r="I506" s="31"/>
      <c r="J506" s="31"/>
      <c r="K506" s="31"/>
      <c r="L506" s="31"/>
      <c r="M506" s="31"/>
      <c r="N506" s="33"/>
      <c r="O506" s="31"/>
    </row>
    <row r="507" spans="1:15" ht="15.75" customHeight="1">
      <c r="A507" s="31"/>
      <c r="B507" s="31"/>
      <c r="C507" s="32"/>
      <c r="D507" s="31"/>
      <c r="E507" s="31"/>
      <c r="F507" s="31"/>
      <c r="G507" s="31"/>
      <c r="H507" s="31"/>
      <c r="I507" s="31"/>
      <c r="J507" s="31"/>
      <c r="K507" s="31"/>
      <c r="L507" s="31"/>
      <c r="M507" s="31"/>
      <c r="N507" s="33"/>
      <c r="O507" s="31"/>
    </row>
    <row r="508" spans="1:15" ht="15.75" customHeight="1">
      <c r="A508" s="31"/>
      <c r="B508" s="31"/>
      <c r="C508" s="32"/>
      <c r="D508" s="31"/>
      <c r="E508" s="31"/>
      <c r="F508" s="31"/>
      <c r="G508" s="31"/>
      <c r="H508" s="31"/>
      <c r="I508" s="31"/>
      <c r="J508" s="31"/>
      <c r="K508" s="31"/>
      <c r="L508" s="31"/>
      <c r="M508" s="31"/>
      <c r="N508" s="33"/>
      <c r="O508" s="31"/>
    </row>
    <row r="509" spans="1:15" ht="15.75" customHeight="1">
      <c r="A509" s="31"/>
      <c r="B509" s="31"/>
      <c r="C509" s="32"/>
      <c r="D509" s="31"/>
      <c r="E509" s="31"/>
      <c r="F509" s="31"/>
      <c r="G509" s="31"/>
      <c r="H509" s="31"/>
      <c r="I509" s="31"/>
      <c r="J509" s="31"/>
      <c r="K509" s="31"/>
      <c r="L509" s="31"/>
      <c r="M509" s="31"/>
      <c r="N509" s="33"/>
      <c r="O509" s="31"/>
    </row>
    <row r="510" spans="1:15" ht="15.75" customHeight="1">
      <c r="A510" s="31"/>
      <c r="B510" s="31"/>
      <c r="C510" s="32"/>
      <c r="D510" s="31"/>
      <c r="E510" s="31"/>
      <c r="F510" s="31"/>
      <c r="G510" s="31"/>
      <c r="H510" s="31"/>
      <c r="I510" s="31"/>
      <c r="J510" s="31"/>
      <c r="K510" s="31"/>
      <c r="L510" s="31"/>
      <c r="M510" s="31"/>
      <c r="N510" s="33"/>
      <c r="O510" s="31"/>
    </row>
    <row r="511" spans="1:15" ht="15.75" customHeight="1">
      <c r="A511" s="31"/>
      <c r="B511" s="31"/>
      <c r="C511" s="32"/>
      <c r="D511" s="31"/>
      <c r="E511" s="31"/>
      <c r="F511" s="31"/>
      <c r="G511" s="31"/>
      <c r="H511" s="31"/>
      <c r="I511" s="31"/>
      <c r="J511" s="31"/>
      <c r="K511" s="31"/>
      <c r="L511" s="31"/>
      <c r="M511" s="31"/>
      <c r="N511" s="33"/>
      <c r="O511" s="31"/>
    </row>
    <row r="512" spans="1:15" ht="15.75" customHeight="1">
      <c r="A512" s="31"/>
      <c r="B512" s="31"/>
      <c r="C512" s="32"/>
      <c r="D512" s="31"/>
      <c r="E512" s="31"/>
      <c r="F512" s="31"/>
      <c r="G512" s="31"/>
      <c r="H512" s="31"/>
      <c r="I512" s="31"/>
      <c r="J512" s="31"/>
      <c r="K512" s="31"/>
      <c r="L512" s="31"/>
      <c r="M512" s="31"/>
      <c r="N512" s="33"/>
      <c r="O512" s="31"/>
    </row>
    <row r="513" spans="1:15" ht="15.75" customHeight="1">
      <c r="A513" s="31"/>
      <c r="B513" s="31"/>
      <c r="C513" s="32"/>
      <c r="D513" s="31"/>
      <c r="E513" s="31"/>
      <c r="F513" s="31"/>
      <c r="G513" s="31"/>
      <c r="H513" s="31"/>
      <c r="I513" s="31"/>
      <c r="J513" s="31"/>
      <c r="K513" s="31"/>
      <c r="L513" s="31"/>
      <c r="M513" s="31"/>
      <c r="N513" s="33"/>
      <c r="O513" s="31"/>
    </row>
    <row r="514" spans="1:15" ht="15.75" customHeight="1">
      <c r="A514" s="31"/>
      <c r="B514" s="31"/>
      <c r="C514" s="32"/>
      <c r="D514" s="31"/>
      <c r="E514" s="31"/>
      <c r="F514" s="31"/>
      <c r="G514" s="31"/>
      <c r="H514" s="31"/>
      <c r="I514" s="31"/>
      <c r="J514" s="31"/>
      <c r="K514" s="31"/>
      <c r="L514" s="31"/>
      <c r="M514" s="31"/>
      <c r="N514" s="33"/>
      <c r="O514" s="31"/>
    </row>
    <row r="515" spans="1:15" ht="15.75" customHeight="1">
      <c r="A515" s="31"/>
      <c r="B515" s="31"/>
      <c r="C515" s="32"/>
      <c r="D515" s="31"/>
      <c r="E515" s="31"/>
      <c r="F515" s="31"/>
      <c r="G515" s="31"/>
      <c r="H515" s="31"/>
      <c r="I515" s="31"/>
      <c r="J515" s="31"/>
      <c r="K515" s="31"/>
      <c r="L515" s="31"/>
      <c r="M515" s="31"/>
      <c r="N515" s="33"/>
      <c r="O515" s="31"/>
    </row>
    <row r="516" spans="1:15" ht="15.75" customHeight="1">
      <c r="A516" s="31"/>
      <c r="B516" s="31"/>
      <c r="C516" s="32"/>
      <c r="D516" s="31"/>
      <c r="E516" s="31"/>
      <c r="F516" s="31"/>
      <c r="G516" s="31"/>
      <c r="H516" s="31"/>
      <c r="I516" s="31"/>
      <c r="J516" s="31"/>
      <c r="K516" s="31"/>
      <c r="L516" s="31"/>
      <c r="M516" s="31"/>
      <c r="N516" s="33"/>
      <c r="O516" s="31"/>
    </row>
    <row r="517" spans="1:15" ht="15.75" customHeight="1">
      <c r="A517" s="31"/>
      <c r="B517" s="31"/>
      <c r="C517" s="32"/>
      <c r="D517" s="31"/>
      <c r="E517" s="31"/>
      <c r="F517" s="31"/>
      <c r="G517" s="31"/>
      <c r="H517" s="31"/>
      <c r="I517" s="31"/>
      <c r="J517" s="31"/>
      <c r="K517" s="31"/>
      <c r="L517" s="31"/>
      <c r="M517" s="31"/>
      <c r="N517" s="33"/>
      <c r="O517" s="31"/>
    </row>
    <row r="518" spans="1:15" ht="15.75" customHeight="1">
      <c r="A518" s="31"/>
      <c r="B518" s="31"/>
      <c r="C518" s="32"/>
      <c r="D518" s="31"/>
      <c r="E518" s="31"/>
      <c r="F518" s="31"/>
      <c r="G518" s="31"/>
      <c r="H518" s="31"/>
      <c r="I518" s="31"/>
      <c r="J518" s="31"/>
      <c r="K518" s="31"/>
      <c r="L518" s="31"/>
      <c r="M518" s="31"/>
      <c r="N518" s="33"/>
      <c r="O518" s="31"/>
    </row>
    <row r="519" spans="1:15" ht="15.75" customHeight="1">
      <c r="A519" s="31"/>
      <c r="B519" s="31"/>
      <c r="C519" s="32"/>
      <c r="D519" s="31"/>
      <c r="E519" s="31"/>
      <c r="F519" s="31"/>
      <c r="G519" s="31"/>
      <c r="H519" s="31"/>
      <c r="I519" s="31"/>
      <c r="J519" s="31"/>
      <c r="K519" s="31"/>
      <c r="L519" s="31"/>
      <c r="M519" s="31"/>
      <c r="N519" s="33"/>
      <c r="O519" s="31"/>
    </row>
    <row r="520" spans="1:15" ht="15.75" customHeight="1">
      <c r="A520" s="31"/>
      <c r="B520" s="31"/>
      <c r="C520" s="32"/>
      <c r="D520" s="31"/>
      <c r="E520" s="31"/>
      <c r="F520" s="31"/>
      <c r="G520" s="31"/>
      <c r="H520" s="31"/>
      <c r="I520" s="31"/>
      <c r="J520" s="31"/>
      <c r="K520" s="31"/>
      <c r="L520" s="31"/>
      <c r="M520" s="31"/>
      <c r="N520" s="33"/>
      <c r="O520" s="31"/>
    </row>
    <row r="521" spans="1:15" ht="15.75" customHeight="1">
      <c r="A521" s="31"/>
      <c r="B521" s="31"/>
      <c r="C521" s="32"/>
      <c r="D521" s="31"/>
      <c r="E521" s="31"/>
      <c r="F521" s="31"/>
      <c r="G521" s="31"/>
      <c r="H521" s="31"/>
      <c r="I521" s="31"/>
      <c r="J521" s="31"/>
      <c r="K521" s="31"/>
      <c r="L521" s="31"/>
      <c r="M521" s="31"/>
      <c r="N521" s="33"/>
      <c r="O521" s="31"/>
    </row>
    <row r="522" spans="1:15" ht="15.75" customHeight="1">
      <c r="A522" s="31"/>
      <c r="B522" s="31"/>
      <c r="C522" s="32"/>
      <c r="D522" s="31"/>
      <c r="E522" s="31"/>
      <c r="F522" s="31"/>
      <c r="G522" s="31"/>
      <c r="H522" s="31"/>
      <c r="I522" s="31"/>
      <c r="J522" s="31"/>
      <c r="K522" s="31"/>
      <c r="L522" s="31"/>
      <c r="M522" s="31"/>
      <c r="N522" s="33"/>
      <c r="O522" s="31"/>
    </row>
    <row r="523" spans="1:15" ht="15.75" customHeight="1">
      <c r="A523" s="31"/>
      <c r="B523" s="31"/>
      <c r="C523" s="32"/>
      <c r="D523" s="31"/>
      <c r="E523" s="31"/>
      <c r="F523" s="31"/>
      <c r="G523" s="31"/>
      <c r="H523" s="31"/>
      <c r="I523" s="31"/>
      <c r="J523" s="31"/>
      <c r="K523" s="31"/>
      <c r="L523" s="31"/>
      <c r="M523" s="31"/>
      <c r="N523" s="33"/>
      <c r="O523" s="31"/>
    </row>
    <row r="524" spans="1:15" ht="15.75" customHeight="1">
      <c r="A524" s="31"/>
      <c r="B524" s="31"/>
      <c r="C524" s="32"/>
      <c r="D524" s="31"/>
      <c r="E524" s="31"/>
      <c r="F524" s="31"/>
      <c r="G524" s="31"/>
      <c r="H524" s="31"/>
      <c r="I524" s="31"/>
      <c r="J524" s="31"/>
      <c r="K524" s="31"/>
      <c r="L524" s="31"/>
      <c r="M524" s="31"/>
      <c r="N524" s="33"/>
      <c r="O524" s="31"/>
    </row>
    <row r="525" spans="1:15" ht="15.75" customHeight="1">
      <c r="A525" s="31"/>
      <c r="B525" s="31"/>
      <c r="C525" s="32"/>
      <c r="D525" s="31"/>
      <c r="E525" s="31"/>
      <c r="F525" s="31"/>
      <c r="G525" s="31"/>
      <c r="H525" s="31"/>
      <c r="I525" s="31"/>
      <c r="J525" s="31"/>
      <c r="K525" s="31"/>
      <c r="L525" s="31"/>
      <c r="M525" s="31"/>
      <c r="N525" s="33"/>
      <c r="O525" s="31"/>
    </row>
    <row r="526" spans="1:15" ht="15.75" customHeight="1">
      <c r="A526" s="31"/>
      <c r="B526" s="31"/>
      <c r="C526" s="32"/>
      <c r="D526" s="31"/>
      <c r="E526" s="31"/>
      <c r="F526" s="31"/>
      <c r="G526" s="31"/>
      <c r="H526" s="31"/>
      <c r="I526" s="31"/>
      <c r="J526" s="31"/>
      <c r="K526" s="31"/>
      <c r="L526" s="31"/>
      <c r="M526" s="31"/>
      <c r="N526" s="33"/>
      <c r="O526" s="31"/>
    </row>
    <row r="527" spans="1:15" ht="15.75" customHeight="1">
      <c r="A527" s="31"/>
      <c r="B527" s="31"/>
      <c r="C527" s="32"/>
      <c r="D527" s="31"/>
      <c r="E527" s="31"/>
      <c r="F527" s="31"/>
      <c r="G527" s="31"/>
      <c r="H527" s="31"/>
      <c r="I527" s="31"/>
      <c r="J527" s="31"/>
      <c r="K527" s="31"/>
      <c r="L527" s="31"/>
      <c r="M527" s="31"/>
      <c r="N527" s="33"/>
      <c r="O527" s="31"/>
    </row>
    <row r="528" spans="1:15" ht="15.75" customHeight="1">
      <c r="A528" s="31"/>
      <c r="B528" s="31"/>
      <c r="C528" s="32"/>
      <c r="D528" s="31"/>
      <c r="E528" s="31"/>
      <c r="F528" s="31"/>
      <c r="G528" s="31"/>
      <c r="H528" s="31"/>
      <c r="I528" s="31"/>
      <c r="J528" s="31"/>
      <c r="K528" s="31"/>
      <c r="L528" s="31"/>
      <c r="M528" s="31"/>
      <c r="N528" s="33"/>
      <c r="O528" s="31"/>
    </row>
    <row r="529" spans="1:15" ht="15.75" customHeight="1">
      <c r="A529" s="31"/>
      <c r="B529" s="31"/>
      <c r="C529" s="32"/>
      <c r="D529" s="31"/>
      <c r="E529" s="31"/>
      <c r="F529" s="31"/>
      <c r="G529" s="31"/>
      <c r="H529" s="31"/>
      <c r="I529" s="31"/>
      <c r="J529" s="31"/>
      <c r="K529" s="31"/>
      <c r="L529" s="31"/>
      <c r="M529" s="31"/>
      <c r="N529" s="33"/>
      <c r="O529" s="31"/>
    </row>
    <row r="530" spans="1:15" ht="15.75" customHeight="1">
      <c r="A530" s="31"/>
      <c r="B530" s="31"/>
      <c r="C530" s="32"/>
      <c r="D530" s="31"/>
      <c r="E530" s="31"/>
      <c r="F530" s="31"/>
      <c r="G530" s="31"/>
      <c r="H530" s="31"/>
      <c r="I530" s="31"/>
      <c r="J530" s="31"/>
      <c r="K530" s="31"/>
      <c r="L530" s="31"/>
      <c r="M530" s="31"/>
      <c r="N530" s="33"/>
      <c r="O530" s="31"/>
    </row>
    <row r="531" spans="1:15" ht="15.75" customHeight="1">
      <c r="A531" s="31"/>
      <c r="B531" s="31"/>
      <c r="C531" s="32"/>
      <c r="D531" s="31"/>
      <c r="E531" s="31"/>
      <c r="F531" s="31"/>
      <c r="G531" s="31"/>
      <c r="H531" s="31"/>
      <c r="I531" s="31"/>
      <c r="J531" s="31"/>
      <c r="K531" s="31"/>
      <c r="L531" s="31"/>
      <c r="M531" s="31"/>
      <c r="N531" s="33"/>
      <c r="O531" s="31"/>
    </row>
    <row r="532" spans="1:15" ht="15.75" customHeight="1">
      <c r="A532" s="31"/>
      <c r="B532" s="31"/>
      <c r="C532" s="32"/>
      <c r="D532" s="31"/>
      <c r="E532" s="31"/>
      <c r="F532" s="31"/>
      <c r="G532" s="31"/>
      <c r="H532" s="31"/>
      <c r="I532" s="31"/>
      <c r="J532" s="31"/>
      <c r="K532" s="31"/>
      <c r="L532" s="31"/>
      <c r="M532" s="31"/>
      <c r="N532" s="33"/>
      <c r="O532" s="31"/>
    </row>
    <row r="533" spans="1:15" ht="15.75" customHeight="1">
      <c r="A533" s="31"/>
      <c r="B533" s="31"/>
      <c r="C533" s="32"/>
      <c r="D533" s="31"/>
      <c r="E533" s="31"/>
      <c r="F533" s="31"/>
      <c r="G533" s="31"/>
      <c r="H533" s="31"/>
      <c r="I533" s="31"/>
      <c r="J533" s="31"/>
      <c r="K533" s="31"/>
      <c r="L533" s="31"/>
      <c r="M533" s="31"/>
      <c r="N533" s="33"/>
      <c r="O533" s="31"/>
    </row>
    <row r="534" spans="1:15" ht="15.75" customHeight="1">
      <c r="A534" s="31"/>
      <c r="B534" s="31"/>
      <c r="C534" s="32"/>
      <c r="D534" s="31"/>
      <c r="E534" s="31"/>
      <c r="F534" s="31"/>
      <c r="G534" s="31"/>
      <c r="H534" s="31"/>
      <c r="I534" s="31"/>
      <c r="J534" s="31"/>
      <c r="K534" s="31"/>
      <c r="L534" s="31"/>
      <c r="M534" s="31"/>
      <c r="N534" s="33"/>
      <c r="O534" s="31"/>
    </row>
    <row r="535" spans="1:15" ht="15.75" customHeight="1">
      <c r="A535" s="31"/>
      <c r="B535" s="31"/>
      <c r="C535" s="32"/>
      <c r="D535" s="31"/>
      <c r="E535" s="31"/>
      <c r="F535" s="31"/>
      <c r="G535" s="31"/>
      <c r="H535" s="31"/>
      <c r="I535" s="31"/>
      <c r="J535" s="31"/>
      <c r="K535" s="31"/>
      <c r="L535" s="31"/>
      <c r="M535" s="31"/>
      <c r="N535" s="33"/>
      <c r="O535" s="31"/>
    </row>
    <row r="536" spans="1:15" ht="15.75" customHeight="1">
      <c r="A536" s="31"/>
      <c r="B536" s="31"/>
      <c r="C536" s="32"/>
      <c r="D536" s="31"/>
      <c r="E536" s="31"/>
      <c r="F536" s="31"/>
      <c r="G536" s="31"/>
      <c r="H536" s="31"/>
      <c r="I536" s="31"/>
      <c r="J536" s="31"/>
      <c r="K536" s="31"/>
      <c r="L536" s="31"/>
      <c r="M536" s="31"/>
      <c r="N536" s="33"/>
      <c r="O536" s="31"/>
    </row>
    <row r="537" spans="1:15" ht="15.75" customHeight="1">
      <c r="A537" s="31"/>
      <c r="B537" s="31"/>
      <c r="C537" s="32"/>
      <c r="D537" s="31"/>
      <c r="E537" s="31"/>
      <c r="F537" s="31"/>
      <c r="G537" s="31"/>
      <c r="H537" s="31"/>
      <c r="I537" s="31"/>
      <c r="J537" s="31"/>
      <c r="K537" s="31"/>
      <c r="L537" s="31"/>
      <c r="M537" s="31"/>
      <c r="N537" s="33"/>
      <c r="O537" s="31"/>
    </row>
    <row r="538" spans="1:15" ht="15.75" customHeight="1">
      <c r="A538" s="31"/>
      <c r="B538" s="31"/>
      <c r="C538" s="32"/>
      <c r="D538" s="31"/>
      <c r="E538" s="31"/>
      <c r="F538" s="31"/>
      <c r="G538" s="31"/>
      <c r="H538" s="31"/>
      <c r="I538" s="31"/>
      <c r="J538" s="31"/>
      <c r="K538" s="31"/>
      <c r="L538" s="31"/>
      <c r="M538" s="31"/>
      <c r="N538" s="33"/>
      <c r="O538" s="31"/>
    </row>
    <row r="539" spans="1:15" ht="15.75" customHeight="1">
      <c r="A539" s="31"/>
      <c r="B539" s="31"/>
      <c r="C539" s="32"/>
      <c r="D539" s="31"/>
      <c r="E539" s="31"/>
      <c r="F539" s="31"/>
      <c r="G539" s="31"/>
      <c r="H539" s="31"/>
      <c r="I539" s="31"/>
      <c r="J539" s="31"/>
      <c r="K539" s="31"/>
      <c r="L539" s="31"/>
      <c r="M539" s="31"/>
      <c r="N539" s="33"/>
      <c r="O539" s="31"/>
    </row>
    <row r="540" spans="1:15" ht="15.75" customHeight="1">
      <c r="A540" s="31"/>
      <c r="B540" s="31"/>
      <c r="C540" s="32"/>
      <c r="D540" s="31"/>
      <c r="E540" s="31"/>
      <c r="F540" s="31"/>
      <c r="G540" s="31"/>
      <c r="H540" s="31"/>
      <c r="I540" s="31"/>
      <c r="J540" s="31"/>
      <c r="K540" s="31"/>
      <c r="L540" s="31"/>
      <c r="M540" s="31"/>
      <c r="N540" s="33"/>
      <c r="O540" s="31"/>
    </row>
    <row r="541" spans="1:15" ht="15.75" customHeight="1">
      <c r="A541" s="31"/>
      <c r="B541" s="31"/>
      <c r="C541" s="32"/>
      <c r="D541" s="31"/>
      <c r="E541" s="31"/>
      <c r="F541" s="31"/>
      <c r="G541" s="31"/>
      <c r="H541" s="31"/>
      <c r="I541" s="31"/>
      <c r="J541" s="31"/>
      <c r="K541" s="31"/>
      <c r="L541" s="31"/>
      <c r="M541" s="31"/>
      <c r="N541" s="33"/>
      <c r="O541" s="31"/>
    </row>
    <row r="542" spans="1:15" ht="15.75" customHeight="1">
      <c r="A542" s="31"/>
      <c r="B542" s="31"/>
      <c r="C542" s="32"/>
      <c r="D542" s="31"/>
      <c r="E542" s="31"/>
      <c r="F542" s="31"/>
      <c r="G542" s="31"/>
      <c r="H542" s="31"/>
      <c r="I542" s="31"/>
      <c r="J542" s="31"/>
      <c r="K542" s="31"/>
      <c r="L542" s="31"/>
      <c r="M542" s="31"/>
      <c r="N542" s="33"/>
      <c r="O542" s="31"/>
    </row>
    <row r="543" spans="1:15" ht="15.75" customHeight="1">
      <c r="A543" s="31"/>
      <c r="B543" s="31"/>
      <c r="C543" s="32"/>
      <c r="D543" s="31"/>
      <c r="E543" s="31"/>
      <c r="F543" s="31"/>
      <c r="G543" s="31"/>
      <c r="H543" s="31"/>
      <c r="I543" s="31"/>
      <c r="J543" s="31"/>
      <c r="K543" s="31"/>
      <c r="L543" s="31"/>
      <c r="M543" s="31"/>
      <c r="N543" s="33"/>
      <c r="O543" s="31"/>
    </row>
    <row r="544" spans="1:15" ht="15.75" customHeight="1">
      <c r="A544" s="31"/>
      <c r="B544" s="31"/>
      <c r="C544" s="32"/>
      <c r="D544" s="31"/>
      <c r="E544" s="31"/>
      <c r="F544" s="31"/>
      <c r="G544" s="31"/>
      <c r="H544" s="31"/>
      <c r="I544" s="31"/>
      <c r="J544" s="31"/>
      <c r="K544" s="31"/>
      <c r="L544" s="31"/>
      <c r="M544" s="31"/>
      <c r="N544" s="33"/>
      <c r="O544" s="31"/>
    </row>
    <row r="545" spans="1:15" ht="15.75" customHeight="1">
      <c r="A545" s="31"/>
      <c r="B545" s="31"/>
      <c r="C545" s="32"/>
      <c r="D545" s="31"/>
      <c r="E545" s="31"/>
      <c r="F545" s="31"/>
      <c r="G545" s="31"/>
      <c r="H545" s="31"/>
      <c r="I545" s="31"/>
      <c r="J545" s="31"/>
      <c r="K545" s="31"/>
      <c r="L545" s="31"/>
      <c r="M545" s="31"/>
      <c r="N545" s="33"/>
      <c r="O545" s="31"/>
    </row>
    <row r="546" spans="1:15" ht="15.75" customHeight="1">
      <c r="A546" s="31"/>
      <c r="B546" s="31"/>
      <c r="C546" s="32"/>
      <c r="D546" s="31"/>
      <c r="E546" s="31"/>
      <c r="F546" s="31"/>
      <c r="G546" s="31"/>
      <c r="H546" s="31"/>
      <c r="I546" s="31"/>
      <c r="J546" s="31"/>
      <c r="K546" s="31"/>
      <c r="L546" s="31"/>
      <c r="M546" s="31"/>
      <c r="N546" s="33"/>
      <c r="O546" s="31"/>
    </row>
    <row r="547" spans="1:15" ht="15.75" customHeight="1">
      <c r="A547" s="31"/>
      <c r="B547" s="31"/>
      <c r="C547" s="32"/>
      <c r="D547" s="31"/>
      <c r="E547" s="31"/>
      <c r="F547" s="31"/>
      <c r="G547" s="31"/>
      <c r="H547" s="31"/>
      <c r="I547" s="31"/>
      <c r="J547" s="31"/>
      <c r="K547" s="31"/>
      <c r="L547" s="31"/>
      <c r="M547" s="31"/>
      <c r="N547" s="33"/>
      <c r="O547" s="31"/>
    </row>
    <row r="548" spans="1:15" ht="15.75" customHeight="1">
      <c r="A548" s="31"/>
      <c r="B548" s="31"/>
      <c r="C548" s="32"/>
      <c r="D548" s="31"/>
      <c r="E548" s="31"/>
      <c r="F548" s="31"/>
      <c r="G548" s="31"/>
      <c r="H548" s="31"/>
      <c r="I548" s="31"/>
      <c r="J548" s="31"/>
      <c r="K548" s="31"/>
      <c r="L548" s="31"/>
      <c r="M548" s="31"/>
      <c r="N548" s="33"/>
      <c r="O548" s="31"/>
    </row>
    <row r="549" spans="1:15" ht="15.75" customHeight="1">
      <c r="A549" s="31"/>
      <c r="B549" s="31"/>
      <c r="C549" s="32"/>
      <c r="D549" s="31"/>
      <c r="E549" s="31"/>
      <c r="F549" s="31"/>
      <c r="G549" s="31"/>
      <c r="H549" s="31"/>
      <c r="I549" s="31"/>
      <c r="J549" s="31"/>
      <c r="K549" s="31"/>
      <c r="L549" s="31"/>
      <c r="M549" s="31"/>
      <c r="N549" s="33"/>
      <c r="O549" s="31"/>
    </row>
    <row r="550" spans="1:15" ht="15.75" customHeight="1">
      <c r="A550" s="31"/>
      <c r="B550" s="31"/>
      <c r="C550" s="32"/>
      <c r="D550" s="31"/>
      <c r="E550" s="31"/>
      <c r="F550" s="31"/>
      <c r="G550" s="31"/>
      <c r="H550" s="31"/>
      <c r="I550" s="31"/>
      <c r="J550" s="31"/>
      <c r="K550" s="31"/>
      <c r="L550" s="31"/>
      <c r="M550" s="31"/>
      <c r="N550" s="33"/>
      <c r="O550" s="31"/>
    </row>
    <row r="551" spans="1:15" ht="15.75" customHeight="1">
      <c r="A551" s="31"/>
      <c r="B551" s="31"/>
      <c r="C551" s="32"/>
      <c r="D551" s="31"/>
      <c r="E551" s="31"/>
      <c r="F551" s="31"/>
      <c r="G551" s="31"/>
      <c r="H551" s="31"/>
      <c r="I551" s="31"/>
      <c r="J551" s="31"/>
      <c r="K551" s="31"/>
      <c r="L551" s="31"/>
      <c r="M551" s="31"/>
      <c r="N551" s="33"/>
      <c r="O551" s="31"/>
    </row>
    <row r="552" spans="1:15" ht="15.75" customHeight="1">
      <c r="A552" s="31"/>
      <c r="B552" s="31"/>
      <c r="C552" s="32"/>
      <c r="D552" s="31"/>
      <c r="E552" s="31"/>
      <c r="F552" s="31"/>
      <c r="G552" s="31"/>
      <c r="H552" s="31"/>
      <c r="I552" s="31"/>
      <c r="J552" s="31"/>
      <c r="K552" s="31"/>
      <c r="L552" s="31"/>
      <c r="M552" s="31"/>
      <c r="N552" s="33"/>
      <c r="O552" s="31"/>
    </row>
    <row r="553" spans="1:15" ht="15.75" customHeight="1">
      <c r="A553" s="31"/>
      <c r="B553" s="31"/>
      <c r="C553" s="32"/>
      <c r="D553" s="31"/>
      <c r="E553" s="31"/>
      <c r="F553" s="31"/>
      <c r="G553" s="31"/>
      <c r="H553" s="31"/>
      <c r="I553" s="31"/>
      <c r="J553" s="31"/>
      <c r="K553" s="31"/>
      <c r="L553" s="31"/>
      <c r="M553" s="31"/>
      <c r="N553" s="33"/>
      <c r="O553" s="31"/>
    </row>
    <row r="554" spans="1:15" ht="15.75" customHeight="1">
      <c r="A554" s="31"/>
      <c r="B554" s="31"/>
      <c r="C554" s="32"/>
      <c r="D554" s="31"/>
      <c r="E554" s="31"/>
      <c r="F554" s="31"/>
      <c r="G554" s="31"/>
      <c r="H554" s="31"/>
      <c r="I554" s="31"/>
      <c r="J554" s="31"/>
      <c r="K554" s="31"/>
      <c r="L554" s="31"/>
      <c r="M554" s="31"/>
      <c r="N554" s="33"/>
      <c r="O554" s="31"/>
    </row>
    <row r="555" spans="1:15" ht="15.75" customHeight="1">
      <c r="A555" s="31"/>
      <c r="B555" s="31"/>
      <c r="C555" s="32"/>
      <c r="D555" s="31"/>
      <c r="E555" s="31"/>
      <c r="F555" s="31"/>
      <c r="G555" s="31"/>
      <c r="H555" s="31"/>
      <c r="I555" s="31"/>
      <c r="J555" s="31"/>
      <c r="K555" s="31"/>
      <c r="L555" s="31"/>
      <c r="M555" s="31"/>
      <c r="N555" s="33"/>
      <c r="O555" s="31"/>
    </row>
    <row r="556" spans="1:15" ht="15.75" customHeight="1">
      <c r="A556" s="31"/>
      <c r="B556" s="31"/>
      <c r="C556" s="32"/>
      <c r="D556" s="31"/>
      <c r="E556" s="31"/>
      <c r="F556" s="31"/>
      <c r="G556" s="31"/>
      <c r="H556" s="31"/>
      <c r="I556" s="31"/>
      <c r="J556" s="31"/>
      <c r="K556" s="31"/>
      <c r="L556" s="31"/>
      <c r="M556" s="31"/>
      <c r="N556" s="33"/>
      <c r="O556" s="31"/>
    </row>
    <row r="557" spans="1:15" ht="15.75" customHeight="1">
      <c r="A557" s="31"/>
      <c r="B557" s="31"/>
      <c r="C557" s="32"/>
      <c r="D557" s="31"/>
      <c r="E557" s="31"/>
      <c r="F557" s="31"/>
      <c r="G557" s="31"/>
      <c r="H557" s="31"/>
      <c r="I557" s="31"/>
      <c r="J557" s="31"/>
      <c r="K557" s="31"/>
      <c r="L557" s="31"/>
      <c r="M557" s="31"/>
      <c r="N557" s="33"/>
      <c r="O557" s="31"/>
    </row>
    <row r="558" spans="1:15" ht="15.75" customHeight="1">
      <c r="A558" s="31"/>
      <c r="B558" s="31"/>
      <c r="C558" s="32"/>
      <c r="D558" s="31"/>
      <c r="E558" s="31"/>
      <c r="F558" s="31"/>
      <c r="G558" s="31"/>
      <c r="H558" s="31"/>
      <c r="I558" s="31"/>
      <c r="J558" s="31"/>
      <c r="K558" s="31"/>
      <c r="L558" s="31"/>
      <c r="M558" s="31"/>
      <c r="N558" s="33"/>
      <c r="O558" s="31"/>
    </row>
    <row r="559" spans="1:15" ht="15.75" customHeight="1">
      <c r="A559" s="31"/>
      <c r="B559" s="31"/>
      <c r="C559" s="32"/>
      <c r="D559" s="31"/>
      <c r="E559" s="31"/>
      <c r="F559" s="31"/>
      <c r="G559" s="31"/>
      <c r="H559" s="31"/>
      <c r="I559" s="31"/>
      <c r="J559" s="31"/>
      <c r="K559" s="31"/>
      <c r="L559" s="31"/>
      <c r="M559" s="31"/>
      <c r="N559" s="33"/>
      <c r="O559" s="31"/>
    </row>
    <row r="560" spans="1:15" ht="15.75" customHeight="1">
      <c r="A560" s="31"/>
      <c r="B560" s="31"/>
      <c r="C560" s="32"/>
      <c r="D560" s="31"/>
      <c r="E560" s="31"/>
      <c r="F560" s="31"/>
      <c r="G560" s="31"/>
      <c r="H560" s="31"/>
      <c r="I560" s="31"/>
      <c r="J560" s="31"/>
      <c r="K560" s="31"/>
      <c r="L560" s="31"/>
      <c r="M560" s="31"/>
      <c r="N560" s="33"/>
      <c r="O560" s="31"/>
    </row>
    <row r="561" spans="1:15" ht="15.75" customHeight="1">
      <c r="A561" s="31"/>
      <c r="B561" s="31"/>
      <c r="C561" s="32"/>
      <c r="D561" s="31"/>
      <c r="E561" s="31"/>
      <c r="F561" s="31"/>
      <c r="G561" s="31"/>
      <c r="H561" s="31"/>
      <c r="I561" s="31"/>
      <c r="J561" s="31"/>
      <c r="K561" s="31"/>
      <c r="L561" s="31"/>
      <c r="M561" s="31"/>
      <c r="N561" s="33"/>
      <c r="O561" s="31"/>
    </row>
    <row r="562" spans="1:15" ht="15.75" customHeight="1">
      <c r="A562" s="31"/>
      <c r="B562" s="31"/>
      <c r="C562" s="32"/>
      <c r="D562" s="31"/>
      <c r="E562" s="31"/>
      <c r="F562" s="31"/>
      <c r="G562" s="31"/>
      <c r="H562" s="31"/>
      <c r="I562" s="31"/>
      <c r="J562" s="31"/>
      <c r="K562" s="31"/>
      <c r="L562" s="31"/>
      <c r="M562" s="31"/>
      <c r="N562" s="33"/>
      <c r="O562" s="31"/>
    </row>
    <row r="563" spans="1:15" ht="15.75" customHeight="1">
      <c r="A563" s="31"/>
      <c r="B563" s="31"/>
      <c r="C563" s="32"/>
      <c r="D563" s="31"/>
      <c r="E563" s="31"/>
      <c r="F563" s="31"/>
      <c r="G563" s="31"/>
      <c r="H563" s="31"/>
      <c r="I563" s="31"/>
      <c r="J563" s="31"/>
      <c r="K563" s="31"/>
      <c r="L563" s="31"/>
      <c r="M563" s="31"/>
      <c r="N563" s="33"/>
      <c r="O563" s="31"/>
    </row>
    <row r="564" spans="1:15" ht="15.75" customHeight="1">
      <c r="A564" s="31"/>
      <c r="B564" s="31"/>
      <c r="C564" s="32"/>
      <c r="D564" s="31"/>
      <c r="E564" s="31"/>
      <c r="F564" s="31"/>
      <c r="G564" s="31"/>
      <c r="H564" s="31"/>
      <c r="I564" s="31"/>
      <c r="J564" s="31"/>
      <c r="K564" s="31"/>
      <c r="L564" s="31"/>
      <c r="M564" s="31"/>
      <c r="N564" s="33"/>
      <c r="O564" s="31"/>
    </row>
    <row r="565" spans="1:15" ht="15.75" customHeight="1">
      <c r="A565" s="31"/>
      <c r="B565" s="31"/>
      <c r="C565" s="32"/>
      <c r="D565" s="31"/>
      <c r="E565" s="31"/>
      <c r="F565" s="31"/>
      <c r="G565" s="31"/>
      <c r="H565" s="31"/>
      <c r="I565" s="31"/>
      <c r="J565" s="31"/>
      <c r="K565" s="31"/>
      <c r="L565" s="31"/>
      <c r="M565" s="31"/>
      <c r="N565" s="33"/>
      <c r="O565" s="31"/>
    </row>
    <row r="566" spans="1:15" ht="15.75" customHeight="1">
      <c r="A566" s="31"/>
      <c r="B566" s="31"/>
      <c r="C566" s="32"/>
      <c r="D566" s="31"/>
      <c r="E566" s="31"/>
      <c r="F566" s="31"/>
      <c r="G566" s="31"/>
      <c r="H566" s="31"/>
      <c r="I566" s="31"/>
      <c r="J566" s="31"/>
      <c r="K566" s="31"/>
      <c r="L566" s="31"/>
      <c r="M566" s="31"/>
      <c r="N566" s="33"/>
      <c r="O566" s="31"/>
    </row>
    <row r="567" spans="1:15" ht="15.75" customHeight="1">
      <c r="A567" s="31"/>
      <c r="B567" s="31"/>
      <c r="C567" s="32"/>
      <c r="D567" s="31"/>
      <c r="E567" s="31"/>
      <c r="F567" s="31"/>
      <c r="G567" s="31"/>
      <c r="H567" s="31"/>
      <c r="I567" s="31"/>
      <c r="J567" s="31"/>
      <c r="K567" s="31"/>
      <c r="L567" s="31"/>
      <c r="M567" s="31"/>
      <c r="N567" s="33"/>
      <c r="O567" s="31"/>
    </row>
    <row r="568" spans="1:15" ht="15.75" customHeight="1">
      <c r="A568" s="31"/>
      <c r="B568" s="31"/>
      <c r="C568" s="32"/>
      <c r="D568" s="31"/>
      <c r="E568" s="31"/>
      <c r="F568" s="31"/>
      <c r="G568" s="31"/>
      <c r="H568" s="31"/>
      <c r="I568" s="31"/>
      <c r="J568" s="31"/>
      <c r="K568" s="31"/>
      <c r="L568" s="31"/>
      <c r="M568" s="31"/>
      <c r="N568" s="33"/>
      <c r="O568" s="31"/>
    </row>
    <row r="569" spans="1:15" ht="15.75" customHeight="1">
      <c r="A569" s="31"/>
      <c r="B569" s="31"/>
      <c r="C569" s="32"/>
      <c r="D569" s="31"/>
      <c r="E569" s="31"/>
      <c r="F569" s="31"/>
      <c r="G569" s="31"/>
      <c r="H569" s="31"/>
      <c r="I569" s="31"/>
      <c r="J569" s="31"/>
      <c r="K569" s="31"/>
      <c r="L569" s="31"/>
      <c r="M569" s="31"/>
      <c r="N569" s="33"/>
      <c r="O569" s="31"/>
    </row>
    <row r="570" spans="1:15" ht="15.75" customHeight="1">
      <c r="A570" s="31"/>
      <c r="B570" s="31"/>
      <c r="C570" s="32"/>
      <c r="D570" s="31"/>
      <c r="E570" s="31"/>
      <c r="F570" s="31"/>
      <c r="G570" s="31"/>
      <c r="H570" s="31"/>
      <c r="I570" s="31"/>
      <c r="J570" s="31"/>
      <c r="K570" s="31"/>
      <c r="L570" s="31"/>
      <c r="M570" s="31"/>
      <c r="N570" s="33"/>
      <c r="O570" s="31"/>
    </row>
    <row r="571" spans="1:15" ht="15.75" customHeight="1">
      <c r="A571" s="31"/>
      <c r="B571" s="31"/>
      <c r="C571" s="32"/>
      <c r="D571" s="31"/>
      <c r="E571" s="31"/>
      <c r="F571" s="31"/>
      <c r="G571" s="31"/>
      <c r="H571" s="31"/>
      <c r="I571" s="31"/>
      <c r="J571" s="31"/>
      <c r="K571" s="31"/>
      <c r="L571" s="31"/>
      <c r="M571" s="31"/>
      <c r="N571" s="33"/>
      <c r="O571" s="31"/>
    </row>
    <row r="572" spans="1:15" ht="15.75" customHeight="1">
      <c r="A572" s="31"/>
      <c r="B572" s="31"/>
      <c r="C572" s="32"/>
      <c r="D572" s="31"/>
      <c r="E572" s="31"/>
      <c r="F572" s="31"/>
      <c r="G572" s="31"/>
      <c r="H572" s="31"/>
      <c r="I572" s="31"/>
      <c r="J572" s="31"/>
      <c r="K572" s="31"/>
      <c r="L572" s="31"/>
      <c r="M572" s="31"/>
      <c r="N572" s="33"/>
      <c r="O572" s="31"/>
    </row>
    <row r="573" spans="1:15" ht="15.75" customHeight="1">
      <c r="A573" s="31"/>
      <c r="B573" s="31"/>
      <c r="C573" s="32"/>
      <c r="D573" s="31"/>
      <c r="E573" s="31"/>
      <c r="F573" s="31"/>
      <c r="G573" s="31"/>
      <c r="H573" s="31"/>
      <c r="I573" s="31"/>
      <c r="J573" s="31"/>
      <c r="K573" s="31"/>
      <c r="L573" s="31"/>
      <c r="M573" s="31"/>
      <c r="N573" s="33"/>
      <c r="O573" s="31"/>
    </row>
    <row r="574" spans="1:15" ht="15.75" customHeight="1">
      <c r="A574" s="31"/>
      <c r="B574" s="31"/>
      <c r="C574" s="32"/>
      <c r="D574" s="31"/>
      <c r="E574" s="31"/>
      <c r="F574" s="31"/>
      <c r="G574" s="31"/>
      <c r="H574" s="31"/>
      <c r="I574" s="31"/>
      <c r="J574" s="31"/>
      <c r="K574" s="31"/>
      <c r="L574" s="31"/>
      <c r="M574" s="31"/>
      <c r="N574" s="33"/>
      <c r="O574" s="31"/>
    </row>
    <row r="575" spans="1:15" ht="15.75" customHeight="1">
      <c r="A575" s="31"/>
      <c r="B575" s="31"/>
      <c r="C575" s="32"/>
      <c r="D575" s="31"/>
      <c r="E575" s="31"/>
      <c r="F575" s="31"/>
      <c r="G575" s="31"/>
      <c r="H575" s="31"/>
      <c r="I575" s="31"/>
      <c r="J575" s="31"/>
      <c r="K575" s="31"/>
      <c r="L575" s="31"/>
      <c r="M575" s="31"/>
      <c r="N575" s="33"/>
      <c r="O575" s="31"/>
    </row>
    <row r="576" spans="1:15" ht="15.75" customHeight="1">
      <c r="A576" s="31"/>
      <c r="B576" s="31"/>
      <c r="C576" s="32"/>
      <c r="D576" s="31"/>
      <c r="E576" s="31"/>
      <c r="F576" s="31"/>
      <c r="G576" s="31"/>
      <c r="H576" s="31"/>
      <c r="I576" s="31"/>
      <c r="J576" s="31"/>
      <c r="K576" s="31"/>
      <c r="L576" s="31"/>
      <c r="M576" s="31"/>
      <c r="N576" s="33"/>
      <c r="O576" s="31"/>
    </row>
    <row r="577" spans="1:15" ht="15.75" customHeight="1">
      <c r="A577" s="31"/>
      <c r="B577" s="31"/>
      <c r="C577" s="32"/>
      <c r="D577" s="31"/>
      <c r="E577" s="31"/>
      <c r="F577" s="31"/>
      <c r="G577" s="31"/>
      <c r="H577" s="31"/>
      <c r="I577" s="31"/>
      <c r="J577" s="31"/>
      <c r="K577" s="31"/>
      <c r="L577" s="31"/>
      <c r="M577" s="31"/>
      <c r="N577" s="33"/>
      <c r="O577" s="31"/>
    </row>
    <row r="578" spans="1:15" ht="15.75" customHeight="1">
      <c r="A578" s="31"/>
      <c r="B578" s="31"/>
      <c r="C578" s="32"/>
      <c r="D578" s="31"/>
      <c r="E578" s="31"/>
      <c r="F578" s="31"/>
      <c r="G578" s="31"/>
      <c r="H578" s="31"/>
      <c r="I578" s="31"/>
      <c r="J578" s="31"/>
      <c r="K578" s="31"/>
      <c r="L578" s="31"/>
      <c r="M578" s="31"/>
      <c r="N578" s="33"/>
      <c r="O578" s="31"/>
    </row>
    <row r="579" spans="1:15" ht="15.75" customHeight="1">
      <c r="A579" s="31"/>
      <c r="B579" s="31"/>
      <c r="C579" s="32"/>
      <c r="D579" s="31"/>
      <c r="E579" s="31"/>
      <c r="F579" s="31"/>
      <c r="G579" s="31"/>
      <c r="H579" s="31"/>
      <c r="I579" s="31"/>
      <c r="J579" s="31"/>
      <c r="K579" s="31"/>
      <c r="L579" s="31"/>
      <c r="M579" s="31"/>
      <c r="N579" s="33"/>
      <c r="O579" s="31"/>
    </row>
    <row r="580" spans="1:15" ht="15.75" customHeight="1">
      <c r="A580" s="31"/>
      <c r="B580" s="31"/>
      <c r="C580" s="32"/>
      <c r="D580" s="31"/>
      <c r="E580" s="31"/>
      <c r="F580" s="31"/>
      <c r="G580" s="31"/>
      <c r="H580" s="31"/>
      <c r="I580" s="31"/>
      <c r="J580" s="31"/>
      <c r="K580" s="31"/>
      <c r="L580" s="31"/>
      <c r="M580" s="31"/>
      <c r="N580" s="33"/>
      <c r="O580" s="31"/>
    </row>
    <row r="581" spans="1:15" ht="15.75" customHeight="1">
      <c r="A581" s="31"/>
      <c r="B581" s="31"/>
      <c r="C581" s="32"/>
      <c r="D581" s="31"/>
      <c r="E581" s="31"/>
      <c r="F581" s="31"/>
      <c r="G581" s="31"/>
      <c r="H581" s="31"/>
      <c r="I581" s="31"/>
      <c r="J581" s="31"/>
      <c r="K581" s="31"/>
      <c r="L581" s="31"/>
      <c r="M581" s="31"/>
      <c r="N581" s="33"/>
      <c r="O581" s="31"/>
    </row>
    <row r="582" spans="1:15" ht="15.75" customHeight="1">
      <c r="A582" s="31"/>
      <c r="B582" s="31"/>
      <c r="C582" s="32"/>
      <c r="D582" s="31"/>
      <c r="E582" s="31"/>
      <c r="F582" s="31"/>
      <c r="G582" s="31"/>
      <c r="H582" s="31"/>
      <c r="I582" s="31"/>
      <c r="J582" s="31"/>
      <c r="K582" s="31"/>
      <c r="L582" s="31"/>
      <c r="M582" s="31"/>
      <c r="N582" s="33"/>
      <c r="O582" s="31"/>
    </row>
    <row r="583" spans="1:15" ht="15.75" customHeight="1">
      <c r="A583" s="31"/>
      <c r="B583" s="31"/>
      <c r="C583" s="32"/>
      <c r="D583" s="31"/>
      <c r="E583" s="31"/>
      <c r="F583" s="31"/>
      <c r="G583" s="31"/>
      <c r="H583" s="31"/>
      <c r="I583" s="31"/>
      <c r="J583" s="31"/>
      <c r="K583" s="31"/>
      <c r="L583" s="31"/>
      <c r="M583" s="31"/>
      <c r="N583" s="33"/>
      <c r="O583" s="31"/>
    </row>
    <row r="584" spans="1:15" ht="15.75" customHeight="1">
      <c r="A584" s="31"/>
      <c r="B584" s="31"/>
      <c r="C584" s="32"/>
      <c r="D584" s="31"/>
      <c r="E584" s="31"/>
      <c r="F584" s="31"/>
      <c r="G584" s="31"/>
      <c r="H584" s="31"/>
      <c r="I584" s="31"/>
      <c r="J584" s="31"/>
      <c r="K584" s="31"/>
      <c r="L584" s="31"/>
      <c r="M584" s="31"/>
      <c r="N584" s="33"/>
      <c r="O584" s="31"/>
    </row>
    <row r="585" spans="1:15" ht="15.75" customHeight="1">
      <c r="A585" s="31"/>
      <c r="B585" s="31"/>
      <c r="C585" s="32"/>
      <c r="D585" s="31"/>
      <c r="E585" s="31"/>
      <c r="F585" s="31"/>
      <c r="G585" s="31"/>
      <c r="H585" s="31"/>
      <c r="I585" s="31"/>
      <c r="J585" s="31"/>
      <c r="K585" s="31"/>
      <c r="L585" s="31"/>
      <c r="M585" s="31"/>
      <c r="N585" s="33"/>
      <c r="O585" s="31"/>
    </row>
    <row r="586" spans="1:15" ht="15.75" customHeight="1">
      <c r="A586" s="31"/>
      <c r="B586" s="31"/>
      <c r="C586" s="32"/>
      <c r="D586" s="31"/>
      <c r="E586" s="31"/>
      <c r="F586" s="31"/>
      <c r="G586" s="31"/>
      <c r="H586" s="31"/>
      <c r="I586" s="31"/>
      <c r="J586" s="31"/>
      <c r="K586" s="31"/>
      <c r="L586" s="31"/>
      <c r="M586" s="31"/>
      <c r="N586" s="33"/>
      <c r="O586" s="31"/>
    </row>
    <row r="587" spans="1:15" ht="15.75" customHeight="1">
      <c r="A587" s="31"/>
      <c r="B587" s="31"/>
      <c r="C587" s="32"/>
      <c r="D587" s="31"/>
      <c r="E587" s="31"/>
      <c r="F587" s="31"/>
      <c r="G587" s="31"/>
      <c r="H587" s="31"/>
      <c r="I587" s="31"/>
      <c r="J587" s="31"/>
      <c r="K587" s="31"/>
      <c r="L587" s="31"/>
      <c r="M587" s="31"/>
      <c r="N587" s="33"/>
      <c r="O587" s="31"/>
    </row>
    <row r="588" spans="1:15" ht="15.75" customHeight="1">
      <c r="A588" s="31"/>
      <c r="B588" s="31"/>
      <c r="C588" s="32"/>
      <c r="D588" s="31"/>
      <c r="E588" s="31"/>
      <c r="F588" s="31"/>
      <c r="G588" s="31"/>
      <c r="H588" s="31"/>
      <c r="I588" s="31"/>
      <c r="J588" s="31"/>
      <c r="K588" s="31"/>
      <c r="L588" s="31"/>
      <c r="M588" s="31"/>
      <c r="N588" s="33"/>
      <c r="O588" s="31"/>
    </row>
    <row r="589" spans="1:15" ht="15.75" customHeight="1">
      <c r="A589" s="31"/>
      <c r="B589" s="31"/>
      <c r="C589" s="32"/>
      <c r="D589" s="31"/>
      <c r="E589" s="31"/>
      <c r="F589" s="31"/>
      <c r="G589" s="31"/>
      <c r="H589" s="31"/>
      <c r="I589" s="31"/>
      <c r="J589" s="31"/>
      <c r="K589" s="31"/>
      <c r="L589" s="31"/>
      <c r="M589" s="31"/>
      <c r="N589" s="33"/>
      <c r="O589" s="31"/>
    </row>
    <row r="590" spans="1:15" ht="15.75" customHeight="1">
      <c r="A590" s="31"/>
      <c r="B590" s="31"/>
      <c r="C590" s="32"/>
      <c r="D590" s="31"/>
      <c r="E590" s="31"/>
      <c r="F590" s="31"/>
      <c r="G590" s="31"/>
      <c r="H590" s="31"/>
      <c r="I590" s="31"/>
      <c r="J590" s="31"/>
      <c r="K590" s="31"/>
      <c r="L590" s="31"/>
      <c r="M590" s="31"/>
      <c r="N590" s="33"/>
      <c r="O590" s="31"/>
    </row>
    <row r="591" spans="1:15" ht="15.75" customHeight="1">
      <c r="A591" s="31"/>
      <c r="B591" s="31"/>
      <c r="C591" s="32"/>
      <c r="D591" s="31"/>
      <c r="E591" s="31"/>
      <c r="F591" s="31"/>
      <c r="G591" s="31"/>
      <c r="H591" s="31"/>
      <c r="I591" s="31"/>
      <c r="J591" s="31"/>
      <c r="K591" s="31"/>
      <c r="L591" s="31"/>
      <c r="M591" s="31"/>
      <c r="N591" s="33"/>
      <c r="O591" s="31"/>
    </row>
    <row r="592" spans="1:15" ht="15.75" customHeight="1">
      <c r="A592" s="31"/>
      <c r="B592" s="31"/>
      <c r="C592" s="32"/>
      <c r="D592" s="31"/>
      <c r="E592" s="31"/>
      <c r="F592" s="31"/>
      <c r="G592" s="31"/>
      <c r="H592" s="31"/>
      <c r="I592" s="31"/>
      <c r="J592" s="31"/>
      <c r="K592" s="31"/>
      <c r="L592" s="31"/>
      <c r="M592" s="31"/>
      <c r="N592" s="33"/>
      <c r="O592" s="31"/>
    </row>
    <row r="593" spans="1:15" ht="15.75" customHeight="1">
      <c r="A593" s="31"/>
      <c r="B593" s="31"/>
      <c r="C593" s="32"/>
      <c r="D593" s="31"/>
      <c r="E593" s="31"/>
      <c r="F593" s="31"/>
      <c r="G593" s="31"/>
      <c r="H593" s="31"/>
      <c r="I593" s="31"/>
      <c r="J593" s="31"/>
      <c r="K593" s="31"/>
      <c r="L593" s="31"/>
      <c r="M593" s="31"/>
      <c r="N593" s="33"/>
      <c r="O593" s="31"/>
    </row>
    <row r="594" spans="1:15" ht="15.75" customHeight="1">
      <c r="A594" s="31"/>
      <c r="B594" s="31"/>
      <c r="C594" s="32"/>
      <c r="D594" s="31"/>
      <c r="E594" s="31"/>
      <c r="F594" s="31"/>
      <c r="G594" s="31"/>
      <c r="H594" s="31"/>
      <c r="I594" s="31"/>
      <c r="J594" s="31"/>
      <c r="K594" s="31"/>
      <c r="L594" s="31"/>
      <c r="M594" s="31"/>
      <c r="N594" s="33"/>
      <c r="O594" s="31"/>
    </row>
    <row r="595" spans="1:15" ht="15.75" customHeight="1">
      <c r="A595" s="31"/>
      <c r="B595" s="31"/>
      <c r="C595" s="32"/>
      <c r="D595" s="31"/>
      <c r="E595" s="31"/>
      <c r="F595" s="31"/>
      <c r="G595" s="31"/>
      <c r="H595" s="31"/>
      <c r="I595" s="31"/>
      <c r="J595" s="31"/>
      <c r="K595" s="31"/>
      <c r="L595" s="31"/>
      <c r="M595" s="31"/>
      <c r="N595" s="33"/>
      <c r="O595" s="31"/>
    </row>
    <row r="596" spans="1:15" ht="15.75" customHeight="1">
      <c r="A596" s="31"/>
      <c r="B596" s="31"/>
      <c r="C596" s="32"/>
      <c r="D596" s="31"/>
      <c r="E596" s="31"/>
      <c r="F596" s="31"/>
      <c r="G596" s="31"/>
      <c r="H596" s="31"/>
      <c r="I596" s="31"/>
      <c r="J596" s="31"/>
      <c r="K596" s="31"/>
      <c r="L596" s="31"/>
      <c r="M596" s="31"/>
      <c r="N596" s="33"/>
      <c r="O596" s="31"/>
    </row>
    <row r="597" spans="1:15" ht="15.75" customHeight="1">
      <c r="A597" s="31"/>
      <c r="B597" s="31"/>
      <c r="C597" s="32"/>
      <c r="D597" s="31"/>
      <c r="E597" s="31"/>
      <c r="F597" s="31"/>
      <c r="G597" s="31"/>
      <c r="H597" s="31"/>
      <c r="I597" s="31"/>
      <c r="J597" s="31"/>
      <c r="K597" s="31"/>
      <c r="L597" s="31"/>
      <c r="M597" s="31"/>
      <c r="N597" s="33"/>
      <c r="O597" s="31"/>
    </row>
    <row r="598" spans="1:15" ht="15.75" customHeight="1">
      <c r="A598" s="31"/>
      <c r="B598" s="31"/>
      <c r="C598" s="32"/>
      <c r="D598" s="31"/>
      <c r="E598" s="31"/>
      <c r="F598" s="31"/>
      <c r="G598" s="31"/>
      <c r="H598" s="31"/>
      <c r="I598" s="31"/>
      <c r="J598" s="31"/>
      <c r="K598" s="31"/>
      <c r="L598" s="31"/>
      <c r="M598" s="31"/>
      <c r="N598" s="33"/>
      <c r="O598" s="31"/>
    </row>
    <row r="599" spans="1:15" ht="15.75" customHeight="1">
      <c r="A599" s="31"/>
      <c r="B599" s="31"/>
      <c r="C599" s="32"/>
      <c r="D599" s="31"/>
      <c r="E599" s="31"/>
      <c r="F599" s="31"/>
      <c r="G599" s="31"/>
      <c r="H599" s="31"/>
      <c r="I599" s="31"/>
      <c r="J599" s="31"/>
      <c r="K599" s="31"/>
      <c r="L599" s="31"/>
      <c r="M599" s="31"/>
      <c r="N599" s="33"/>
      <c r="O599" s="31"/>
    </row>
    <row r="600" spans="1:15" ht="15.75" customHeight="1">
      <c r="A600" s="31"/>
      <c r="B600" s="31"/>
      <c r="C600" s="32"/>
      <c r="D600" s="31"/>
      <c r="E600" s="31"/>
      <c r="F600" s="31"/>
      <c r="G600" s="31"/>
      <c r="H600" s="31"/>
      <c r="I600" s="31"/>
      <c r="J600" s="31"/>
      <c r="K600" s="31"/>
      <c r="L600" s="31"/>
      <c r="M600" s="31"/>
      <c r="N600" s="33"/>
      <c r="O600" s="31"/>
    </row>
    <row r="601" spans="1:15" ht="15.75" customHeight="1">
      <c r="A601" s="31"/>
      <c r="B601" s="31"/>
      <c r="C601" s="32"/>
      <c r="D601" s="31"/>
      <c r="E601" s="31"/>
      <c r="F601" s="31"/>
      <c r="G601" s="31"/>
      <c r="H601" s="31"/>
      <c r="I601" s="31"/>
      <c r="J601" s="31"/>
      <c r="K601" s="31"/>
      <c r="L601" s="31"/>
      <c r="M601" s="31"/>
      <c r="N601" s="33"/>
      <c r="O601" s="31"/>
    </row>
    <row r="602" spans="1:15" ht="15.75" customHeight="1">
      <c r="A602" s="31"/>
      <c r="B602" s="31"/>
      <c r="C602" s="32"/>
      <c r="D602" s="31"/>
      <c r="E602" s="31"/>
      <c r="F602" s="31"/>
      <c r="G602" s="31"/>
      <c r="H602" s="31"/>
      <c r="I602" s="31"/>
      <c r="J602" s="31"/>
      <c r="K602" s="31"/>
      <c r="L602" s="31"/>
      <c r="M602" s="31"/>
      <c r="N602" s="33"/>
      <c r="O602" s="31"/>
    </row>
    <row r="603" spans="1:15" ht="15.75" customHeight="1">
      <c r="A603" s="31"/>
      <c r="B603" s="31"/>
      <c r="C603" s="32"/>
      <c r="D603" s="31"/>
      <c r="E603" s="31"/>
      <c r="F603" s="31"/>
      <c r="G603" s="31"/>
      <c r="H603" s="31"/>
      <c r="I603" s="31"/>
      <c r="J603" s="31"/>
      <c r="K603" s="31"/>
      <c r="L603" s="31"/>
      <c r="M603" s="31"/>
      <c r="N603" s="33"/>
      <c r="O603" s="31"/>
    </row>
    <row r="604" spans="1:15" ht="15.75" customHeight="1">
      <c r="A604" s="31"/>
      <c r="B604" s="31"/>
      <c r="C604" s="32"/>
      <c r="D604" s="31"/>
      <c r="E604" s="31"/>
      <c r="F604" s="31"/>
      <c r="G604" s="31"/>
      <c r="H604" s="31"/>
      <c r="I604" s="31"/>
      <c r="J604" s="31"/>
      <c r="K604" s="31"/>
      <c r="L604" s="31"/>
      <c r="M604" s="31"/>
      <c r="N604" s="33"/>
      <c r="O604" s="31"/>
    </row>
    <row r="605" spans="1:15" ht="15.75" customHeight="1">
      <c r="A605" s="31"/>
      <c r="B605" s="31"/>
      <c r="C605" s="32"/>
      <c r="D605" s="31"/>
      <c r="E605" s="31"/>
      <c r="F605" s="31"/>
      <c r="G605" s="31"/>
      <c r="H605" s="31"/>
      <c r="I605" s="31"/>
      <c r="J605" s="31"/>
      <c r="K605" s="31"/>
      <c r="L605" s="31"/>
      <c r="M605" s="31"/>
      <c r="N605" s="33"/>
      <c r="O605" s="31"/>
    </row>
    <row r="606" spans="1:15" ht="15.75" customHeight="1">
      <c r="A606" s="31"/>
      <c r="B606" s="31"/>
      <c r="C606" s="32"/>
      <c r="D606" s="31"/>
      <c r="E606" s="31"/>
      <c r="F606" s="31"/>
      <c r="G606" s="31"/>
      <c r="H606" s="31"/>
      <c r="I606" s="31"/>
      <c r="J606" s="31"/>
      <c r="K606" s="31"/>
      <c r="L606" s="31"/>
      <c r="M606" s="31"/>
      <c r="N606" s="33"/>
      <c r="O606" s="31"/>
    </row>
    <row r="607" spans="1:15" ht="15.75" customHeight="1">
      <c r="A607" s="31"/>
      <c r="B607" s="31"/>
      <c r="C607" s="32"/>
      <c r="D607" s="31"/>
      <c r="E607" s="31"/>
      <c r="F607" s="31"/>
      <c r="G607" s="31"/>
      <c r="H607" s="31"/>
      <c r="I607" s="31"/>
      <c r="J607" s="31"/>
      <c r="K607" s="31"/>
      <c r="L607" s="31"/>
      <c r="M607" s="31"/>
      <c r="N607" s="33"/>
      <c r="O607" s="31"/>
    </row>
    <row r="608" spans="1:15" ht="15.75" customHeight="1">
      <c r="A608" s="31"/>
      <c r="B608" s="31"/>
      <c r="C608" s="32"/>
      <c r="D608" s="31"/>
      <c r="E608" s="31"/>
      <c r="F608" s="31"/>
      <c r="G608" s="31"/>
      <c r="H608" s="31"/>
      <c r="I608" s="31"/>
      <c r="J608" s="31"/>
      <c r="K608" s="31"/>
      <c r="L608" s="31"/>
      <c r="M608" s="31"/>
      <c r="N608" s="33"/>
      <c r="O608" s="31"/>
    </row>
    <row r="609" spans="1:15" ht="15.75" customHeight="1">
      <c r="A609" s="31"/>
      <c r="B609" s="31"/>
      <c r="C609" s="32"/>
      <c r="D609" s="31"/>
      <c r="E609" s="31"/>
      <c r="F609" s="31"/>
      <c r="G609" s="31"/>
      <c r="H609" s="31"/>
      <c r="I609" s="31"/>
      <c r="J609" s="31"/>
      <c r="K609" s="31"/>
      <c r="L609" s="31"/>
      <c r="M609" s="31"/>
      <c r="N609" s="33"/>
      <c r="O609" s="31"/>
    </row>
    <row r="610" spans="1:15" ht="15.75" customHeight="1">
      <c r="A610" s="31"/>
      <c r="B610" s="31"/>
      <c r="C610" s="32"/>
      <c r="D610" s="31"/>
      <c r="E610" s="31"/>
      <c r="F610" s="31"/>
      <c r="G610" s="31"/>
      <c r="H610" s="31"/>
      <c r="I610" s="31"/>
      <c r="J610" s="31"/>
      <c r="K610" s="31"/>
      <c r="L610" s="31"/>
      <c r="M610" s="31"/>
      <c r="N610" s="33"/>
      <c r="O610" s="31"/>
    </row>
    <row r="611" spans="1:15" ht="15.75" customHeight="1">
      <c r="A611" s="31"/>
      <c r="B611" s="31"/>
      <c r="C611" s="32"/>
      <c r="D611" s="31"/>
      <c r="E611" s="31"/>
      <c r="F611" s="31"/>
      <c r="G611" s="31"/>
      <c r="H611" s="31"/>
      <c r="I611" s="31"/>
      <c r="J611" s="31"/>
      <c r="K611" s="31"/>
      <c r="L611" s="31"/>
      <c r="M611" s="31"/>
      <c r="N611" s="33"/>
      <c r="O611" s="31"/>
    </row>
    <row r="612" spans="1:15" ht="15.75" customHeight="1">
      <c r="A612" s="31"/>
      <c r="B612" s="31"/>
      <c r="C612" s="32"/>
      <c r="D612" s="31"/>
      <c r="E612" s="31"/>
      <c r="F612" s="31"/>
      <c r="G612" s="31"/>
      <c r="H612" s="31"/>
      <c r="I612" s="31"/>
      <c r="J612" s="31"/>
      <c r="K612" s="31"/>
      <c r="L612" s="31"/>
      <c r="M612" s="31"/>
      <c r="N612" s="33"/>
      <c r="O612" s="31"/>
    </row>
    <row r="613" spans="1:15" ht="15.75" customHeight="1">
      <c r="A613" s="31"/>
      <c r="B613" s="31"/>
      <c r="C613" s="32"/>
      <c r="D613" s="31"/>
      <c r="E613" s="31"/>
      <c r="F613" s="31"/>
      <c r="G613" s="31"/>
      <c r="H613" s="31"/>
      <c r="I613" s="31"/>
      <c r="J613" s="31"/>
      <c r="K613" s="31"/>
      <c r="L613" s="31"/>
      <c r="M613" s="31"/>
      <c r="N613" s="33"/>
      <c r="O613" s="31"/>
    </row>
    <row r="614" spans="1:15" ht="15.75" customHeight="1">
      <c r="A614" s="31"/>
      <c r="B614" s="31"/>
      <c r="C614" s="32"/>
      <c r="D614" s="31"/>
      <c r="E614" s="31"/>
      <c r="F614" s="31"/>
      <c r="G614" s="31"/>
      <c r="H614" s="31"/>
      <c r="I614" s="31"/>
      <c r="J614" s="31"/>
      <c r="K614" s="31"/>
      <c r="L614" s="31"/>
      <c r="M614" s="31"/>
      <c r="N614" s="33"/>
      <c r="O614" s="31"/>
    </row>
    <row r="615" spans="1:15" ht="15.75" customHeight="1">
      <c r="A615" s="31"/>
      <c r="B615" s="31"/>
      <c r="C615" s="32"/>
      <c r="D615" s="31"/>
      <c r="E615" s="31"/>
      <c r="F615" s="31"/>
      <c r="G615" s="31"/>
      <c r="H615" s="31"/>
      <c r="I615" s="31"/>
      <c r="J615" s="31"/>
      <c r="K615" s="31"/>
      <c r="L615" s="31"/>
      <c r="M615" s="31"/>
      <c r="N615" s="33"/>
      <c r="O615" s="31"/>
    </row>
    <row r="616" spans="1:15" ht="15.75" customHeight="1">
      <c r="A616" s="31"/>
      <c r="B616" s="31"/>
      <c r="C616" s="32"/>
      <c r="D616" s="31"/>
      <c r="E616" s="31"/>
      <c r="F616" s="31"/>
      <c r="G616" s="31"/>
      <c r="H616" s="31"/>
      <c r="I616" s="31"/>
      <c r="J616" s="31"/>
      <c r="K616" s="31"/>
      <c r="L616" s="31"/>
      <c r="M616" s="31"/>
      <c r="N616" s="33"/>
      <c r="O616" s="31"/>
    </row>
    <row r="617" spans="1:15" ht="15.75" customHeight="1">
      <c r="A617" s="31"/>
      <c r="B617" s="31"/>
      <c r="C617" s="32"/>
      <c r="D617" s="31"/>
      <c r="E617" s="31"/>
      <c r="F617" s="31"/>
      <c r="G617" s="31"/>
      <c r="H617" s="31"/>
      <c r="I617" s="31"/>
      <c r="J617" s="31"/>
      <c r="K617" s="31"/>
      <c r="L617" s="31"/>
      <c r="M617" s="31"/>
      <c r="N617" s="33"/>
      <c r="O617" s="31"/>
    </row>
    <row r="618" spans="1:15" ht="15.75" customHeight="1">
      <c r="A618" s="31"/>
      <c r="B618" s="31"/>
      <c r="C618" s="32"/>
      <c r="D618" s="31"/>
      <c r="E618" s="31"/>
      <c r="F618" s="31"/>
      <c r="G618" s="31"/>
      <c r="H618" s="31"/>
      <c r="I618" s="31"/>
      <c r="J618" s="31"/>
      <c r="K618" s="31"/>
      <c r="L618" s="31"/>
      <c r="M618" s="31"/>
      <c r="N618" s="33"/>
      <c r="O618" s="31"/>
    </row>
    <row r="619" spans="1:15" ht="15.75" customHeight="1">
      <c r="A619" s="31"/>
      <c r="B619" s="31"/>
      <c r="C619" s="32"/>
      <c r="D619" s="31"/>
      <c r="E619" s="31"/>
      <c r="F619" s="31"/>
      <c r="G619" s="31"/>
      <c r="H619" s="31"/>
      <c r="I619" s="31"/>
      <c r="J619" s="31"/>
      <c r="K619" s="31"/>
      <c r="L619" s="31"/>
      <c r="M619" s="31"/>
      <c r="N619" s="33"/>
      <c r="O619" s="31"/>
    </row>
    <row r="620" spans="1:15" ht="15.75" customHeight="1">
      <c r="A620" s="31"/>
      <c r="B620" s="31"/>
      <c r="C620" s="32"/>
      <c r="D620" s="31"/>
      <c r="E620" s="31"/>
      <c r="F620" s="31"/>
      <c r="G620" s="31"/>
      <c r="H620" s="31"/>
      <c r="I620" s="31"/>
      <c r="J620" s="31"/>
      <c r="K620" s="31"/>
      <c r="L620" s="31"/>
      <c r="M620" s="31"/>
      <c r="N620" s="33"/>
      <c r="O620" s="31"/>
    </row>
    <row r="621" spans="1:15" ht="15.75" customHeight="1">
      <c r="A621" s="31"/>
      <c r="B621" s="31"/>
      <c r="C621" s="32"/>
      <c r="D621" s="31"/>
      <c r="E621" s="31"/>
      <c r="F621" s="31"/>
      <c r="G621" s="31"/>
      <c r="H621" s="31"/>
      <c r="I621" s="31"/>
      <c r="J621" s="31"/>
      <c r="K621" s="31"/>
      <c r="L621" s="31"/>
      <c r="M621" s="31"/>
      <c r="N621" s="33"/>
      <c r="O621" s="31"/>
    </row>
    <row r="622" spans="1:15" ht="15.75" customHeight="1">
      <c r="A622" s="31"/>
      <c r="B622" s="31"/>
      <c r="C622" s="32"/>
      <c r="D622" s="31"/>
      <c r="E622" s="31"/>
      <c r="F622" s="31"/>
      <c r="G622" s="31"/>
      <c r="H622" s="31"/>
      <c r="I622" s="31"/>
      <c r="J622" s="31"/>
      <c r="K622" s="31"/>
      <c r="L622" s="31"/>
      <c r="M622" s="31"/>
      <c r="N622" s="33"/>
      <c r="O622" s="31"/>
    </row>
    <row r="623" spans="1:15" ht="15.75" customHeight="1">
      <c r="A623" s="31"/>
      <c r="B623" s="31"/>
      <c r="C623" s="32"/>
      <c r="D623" s="31"/>
      <c r="E623" s="31"/>
      <c r="F623" s="31"/>
      <c r="G623" s="31"/>
      <c r="H623" s="31"/>
      <c r="I623" s="31"/>
      <c r="J623" s="31"/>
      <c r="K623" s="31"/>
      <c r="L623" s="31"/>
      <c r="M623" s="31"/>
      <c r="N623" s="33"/>
      <c r="O623" s="31"/>
    </row>
    <row r="624" spans="1:15" ht="15.75" customHeight="1">
      <c r="A624" s="31"/>
      <c r="B624" s="31"/>
      <c r="C624" s="32"/>
      <c r="D624" s="31"/>
      <c r="E624" s="31"/>
      <c r="F624" s="31"/>
      <c r="G624" s="31"/>
      <c r="H624" s="31"/>
      <c r="I624" s="31"/>
      <c r="J624" s="31"/>
      <c r="K624" s="31"/>
      <c r="L624" s="31"/>
      <c r="M624" s="31"/>
      <c r="N624" s="33"/>
      <c r="O624" s="31"/>
    </row>
    <row r="625" spans="1:15" ht="15.75" customHeight="1">
      <c r="A625" s="31"/>
      <c r="B625" s="31"/>
      <c r="C625" s="32"/>
      <c r="D625" s="31"/>
      <c r="E625" s="31"/>
      <c r="F625" s="31"/>
      <c r="G625" s="31"/>
      <c r="H625" s="31"/>
      <c r="I625" s="31"/>
      <c r="J625" s="31"/>
      <c r="K625" s="31"/>
      <c r="L625" s="31"/>
      <c r="M625" s="31"/>
      <c r="N625" s="33"/>
      <c r="O625" s="31"/>
    </row>
    <row r="626" spans="1:15" ht="15.75" customHeight="1">
      <c r="A626" s="31"/>
      <c r="B626" s="31"/>
      <c r="C626" s="32"/>
      <c r="D626" s="31"/>
      <c r="E626" s="31"/>
      <c r="F626" s="31"/>
      <c r="G626" s="31"/>
      <c r="H626" s="31"/>
      <c r="I626" s="31"/>
      <c r="J626" s="31"/>
      <c r="K626" s="31"/>
      <c r="L626" s="31"/>
      <c r="M626" s="31"/>
      <c r="N626" s="33"/>
      <c r="O626" s="31"/>
    </row>
    <row r="627" spans="1:15" ht="15.75" customHeight="1">
      <c r="A627" s="31"/>
      <c r="B627" s="31"/>
      <c r="C627" s="32"/>
      <c r="D627" s="31"/>
      <c r="E627" s="31"/>
      <c r="F627" s="31"/>
      <c r="G627" s="31"/>
      <c r="H627" s="31"/>
      <c r="I627" s="31"/>
      <c r="J627" s="31"/>
      <c r="K627" s="31"/>
      <c r="L627" s="31"/>
      <c r="M627" s="31"/>
      <c r="N627" s="33"/>
      <c r="O627" s="31"/>
    </row>
    <row r="628" spans="1:15" ht="15.75" customHeight="1">
      <c r="A628" s="31"/>
      <c r="B628" s="31"/>
      <c r="C628" s="32"/>
      <c r="D628" s="31"/>
      <c r="E628" s="31"/>
      <c r="F628" s="31"/>
      <c r="G628" s="31"/>
      <c r="H628" s="31"/>
      <c r="I628" s="31"/>
      <c r="J628" s="31"/>
      <c r="K628" s="31"/>
      <c r="L628" s="31"/>
      <c r="M628" s="31"/>
      <c r="N628" s="33"/>
      <c r="O628" s="31"/>
    </row>
    <row r="629" spans="1:15" ht="15.75" customHeight="1">
      <c r="A629" s="31"/>
      <c r="B629" s="31"/>
      <c r="C629" s="32"/>
      <c r="D629" s="31"/>
      <c r="E629" s="31"/>
      <c r="F629" s="31"/>
      <c r="G629" s="31"/>
      <c r="H629" s="31"/>
      <c r="I629" s="31"/>
      <c r="J629" s="31"/>
      <c r="K629" s="31"/>
      <c r="L629" s="31"/>
      <c r="M629" s="31"/>
      <c r="N629" s="33"/>
      <c r="O629" s="31"/>
    </row>
    <row r="630" spans="1:15" ht="15.75" customHeight="1">
      <c r="A630" s="31"/>
      <c r="B630" s="31"/>
      <c r="C630" s="32"/>
      <c r="D630" s="31"/>
      <c r="E630" s="31"/>
      <c r="F630" s="31"/>
      <c r="G630" s="31"/>
      <c r="H630" s="31"/>
      <c r="I630" s="31"/>
      <c r="J630" s="31"/>
      <c r="K630" s="31"/>
      <c r="L630" s="31"/>
      <c r="M630" s="31"/>
      <c r="N630" s="33"/>
      <c r="O630" s="31"/>
    </row>
    <row r="631" spans="1:15" ht="15.75" customHeight="1">
      <c r="A631" s="31"/>
      <c r="B631" s="31"/>
      <c r="C631" s="32"/>
      <c r="D631" s="31"/>
      <c r="E631" s="31"/>
      <c r="F631" s="31"/>
      <c r="G631" s="31"/>
      <c r="H631" s="31"/>
      <c r="I631" s="31"/>
      <c r="J631" s="31"/>
      <c r="K631" s="31"/>
      <c r="L631" s="31"/>
      <c r="M631" s="31"/>
      <c r="N631" s="33"/>
      <c r="O631" s="31"/>
    </row>
    <row r="632" spans="1:15" ht="15.75" customHeight="1">
      <c r="A632" s="31"/>
      <c r="B632" s="31"/>
      <c r="C632" s="32"/>
      <c r="D632" s="31"/>
      <c r="E632" s="31"/>
      <c r="F632" s="31"/>
      <c r="G632" s="31"/>
      <c r="H632" s="31"/>
      <c r="I632" s="31"/>
      <c r="J632" s="31"/>
      <c r="K632" s="31"/>
      <c r="L632" s="31"/>
      <c r="M632" s="31"/>
      <c r="N632" s="33"/>
      <c r="O632" s="31"/>
    </row>
    <row r="633" spans="1:15" ht="15.75" customHeight="1">
      <c r="A633" s="31"/>
      <c r="B633" s="31"/>
      <c r="C633" s="32"/>
      <c r="D633" s="31"/>
      <c r="E633" s="31"/>
      <c r="F633" s="31"/>
      <c r="G633" s="31"/>
      <c r="H633" s="31"/>
      <c r="I633" s="31"/>
      <c r="J633" s="31"/>
      <c r="K633" s="31"/>
      <c r="L633" s="31"/>
      <c r="M633" s="31"/>
      <c r="N633" s="33"/>
      <c r="O633" s="31"/>
    </row>
    <row r="634" spans="1:15" ht="15.75" customHeight="1">
      <c r="A634" s="31"/>
      <c r="B634" s="31"/>
      <c r="C634" s="32"/>
      <c r="D634" s="31"/>
      <c r="E634" s="31"/>
      <c r="F634" s="31"/>
      <c r="G634" s="31"/>
      <c r="H634" s="31"/>
      <c r="I634" s="31"/>
      <c r="J634" s="31"/>
      <c r="K634" s="31"/>
      <c r="L634" s="31"/>
      <c r="M634" s="31"/>
      <c r="N634" s="33"/>
      <c r="O634" s="31"/>
    </row>
    <row r="635" spans="1:15" ht="15.75" customHeight="1">
      <c r="A635" s="31"/>
      <c r="B635" s="31"/>
      <c r="C635" s="32"/>
      <c r="D635" s="31"/>
      <c r="E635" s="31"/>
      <c r="F635" s="31"/>
      <c r="G635" s="31"/>
      <c r="H635" s="31"/>
      <c r="I635" s="31"/>
      <c r="J635" s="31"/>
      <c r="K635" s="31"/>
      <c r="L635" s="31"/>
      <c r="M635" s="31"/>
      <c r="N635" s="33"/>
      <c r="O635" s="31"/>
    </row>
    <row r="636" spans="1:15" ht="15.75" customHeight="1">
      <c r="A636" s="31"/>
      <c r="B636" s="31"/>
      <c r="C636" s="32"/>
      <c r="D636" s="31"/>
      <c r="E636" s="31"/>
      <c r="F636" s="31"/>
      <c r="G636" s="31"/>
      <c r="H636" s="31"/>
      <c r="I636" s="31"/>
      <c r="J636" s="31"/>
      <c r="K636" s="31"/>
      <c r="L636" s="31"/>
      <c r="M636" s="31"/>
      <c r="N636" s="33"/>
      <c r="O636" s="31"/>
    </row>
    <row r="637" spans="1:15" ht="15.75" customHeight="1">
      <c r="A637" s="31"/>
      <c r="B637" s="31"/>
      <c r="C637" s="32"/>
      <c r="D637" s="31"/>
      <c r="E637" s="31"/>
      <c r="F637" s="31"/>
      <c r="G637" s="31"/>
      <c r="H637" s="31"/>
      <c r="I637" s="31"/>
      <c r="J637" s="31"/>
      <c r="K637" s="31"/>
      <c r="L637" s="31"/>
      <c r="M637" s="31"/>
      <c r="N637" s="33"/>
      <c r="O637" s="31"/>
    </row>
    <row r="638" spans="1:15" ht="15.75" customHeight="1">
      <c r="A638" s="31"/>
      <c r="B638" s="31"/>
      <c r="C638" s="32"/>
      <c r="D638" s="31"/>
      <c r="E638" s="31"/>
      <c r="F638" s="31"/>
      <c r="G638" s="31"/>
      <c r="H638" s="31"/>
      <c r="I638" s="31"/>
      <c r="J638" s="31"/>
      <c r="K638" s="31"/>
      <c r="L638" s="31"/>
      <c r="M638" s="31"/>
      <c r="N638" s="33"/>
      <c r="O638" s="31"/>
    </row>
    <row r="639" spans="1:15" ht="15.75" customHeight="1">
      <c r="A639" s="31"/>
      <c r="B639" s="31"/>
      <c r="C639" s="32"/>
      <c r="D639" s="31"/>
      <c r="E639" s="31"/>
      <c r="F639" s="31"/>
      <c r="G639" s="31"/>
      <c r="H639" s="31"/>
      <c r="I639" s="31"/>
      <c r="J639" s="31"/>
      <c r="K639" s="31"/>
      <c r="L639" s="31"/>
      <c r="M639" s="31"/>
      <c r="N639" s="33"/>
      <c r="O639" s="31"/>
    </row>
    <row r="640" spans="1:15" ht="15.75" customHeight="1">
      <c r="A640" s="31"/>
      <c r="B640" s="31"/>
      <c r="C640" s="32"/>
      <c r="D640" s="31"/>
      <c r="E640" s="31"/>
      <c r="F640" s="31"/>
      <c r="G640" s="31"/>
      <c r="H640" s="31"/>
      <c r="I640" s="31"/>
      <c r="J640" s="31"/>
      <c r="K640" s="31"/>
      <c r="L640" s="31"/>
      <c r="M640" s="31"/>
      <c r="N640" s="33"/>
      <c r="O640" s="31"/>
    </row>
    <row r="641" spans="1:15" ht="15.75" customHeight="1">
      <c r="A641" s="31"/>
      <c r="B641" s="31"/>
      <c r="C641" s="32"/>
      <c r="D641" s="31"/>
      <c r="E641" s="31"/>
      <c r="F641" s="31"/>
      <c r="G641" s="31"/>
      <c r="H641" s="31"/>
      <c r="I641" s="31"/>
      <c r="J641" s="31"/>
      <c r="K641" s="31"/>
      <c r="L641" s="31"/>
      <c r="M641" s="31"/>
      <c r="N641" s="33"/>
      <c r="O641" s="31"/>
    </row>
    <row r="642" spans="1:15" ht="15.75" customHeight="1">
      <c r="A642" s="31"/>
      <c r="B642" s="31"/>
      <c r="C642" s="32"/>
      <c r="D642" s="31"/>
      <c r="E642" s="31"/>
      <c r="F642" s="31"/>
      <c r="G642" s="31"/>
      <c r="H642" s="31"/>
      <c r="I642" s="31"/>
      <c r="J642" s="31"/>
      <c r="K642" s="31"/>
      <c r="L642" s="31"/>
      <c r="M642" s="31"/>
      <c r="N642" s="33"/>
      <c r="O642" s="31"/>
    </row>
    <row r="643" spans="1:15" ht="15.75" customHeight="1">
      <c r="A643" s="31"/>
      <c r="B643" s="31"/>
      <c r="C643" s="32"/>
      <c r="D643" s="31"/>
      <c r="E643" s="31"/>
      <c r="F643" s="31"/>
      <c r="G643" s="31"/>
      <c r="H643" s="31"/>
      <c r="I643" s="31"/>
      <c r="J643" s="31"/>
      <c r="K643" s="31"/>
      <c r="L643" s="31"/>
      <c r="M643" s="31"/>
      <c r="N643" s="33"/>
      <c r="O643" s="31"/>
    </row>
    <row r="644" spans="1:15" ht="15.75" customHeight="1">
      <c r="A644" s="31"/>
      <c r="B644" s="31"/>
      <c r="C644" s="32"/>
      <c r="D644" s="31"/>
      <c r="E644" s="31"/>
      <c r="F644" s="31"/>
      <c r="G644" s="31"/>
      <c r="H644" s="31"/>
      <c r="I644" s="31"/>
      <c r="J644" s="31"/>
      <c r="K644" s="31"/>
      <c r="L644" s="31"/>
      <c r="M644" s="31"/>
      <c r="N644" s="33"/>
      <c r="O644" s="31"/>
    </row>
    <row r="645" spans="1:15" ht="15.75" customHeight="1">
      <c r="A645" s="31"/>
      <c r="B645" s="31"/>
      <c r="C645" s="32"/>
      <c r="D645" s="31"/>
      <c r="E645" s="31"/>
      <c r="F645" s="31"/>
      <c r="G645" s="31"/>
      <c r="H645" s="31"/>
      <c r="I645" s="31"/>
      <c r="J645" s="31"/>
      <c r="K645" s="31"/>
      <c r="L645" s="31"/>
      <c r="M645" s="31"/>
      <c r="N645" s="33"/>
      <c r="O645" s="31"/>
    </row>
    <row r="646" spans="1:15" ht="15.75" customHeight="1">
      <c r="A646" s="31"/>
      <c r="B646" s="31"/>
      <c r="C646" s="32"/>
      <c r="D646" s="31"/>
      <c r="E646" s="31"/>
      <c r="F646" s="31"/>
      <c r="G646" s="31"/>
      <c r="H646" s="31"/>
      <c r="I646" s="31"/>
      <c r="J646" s="31"/>
      <c r="K646" s="31"/>
      <c r="L646" s="31"/>
      <c r="M646" s="31"/>
      <c r="N646" s="33"/>
      <c r="O646" s="31"/>
    </row>
    <row r="647" spans="1:15" ht="15.75" customHeight="1">
      <c r="A647" s="31"/>
      <c r="B647" s="31"/>
      <c r="C647" s="32"/>
      <c r="D647" s="31"/>
      <c r="E647" s="31"/>
      <c r="F647" s="31"/>
      <c r="G647" s="31"/>
      <c r="H647" s="31"/>
      <c r="I647" s="31"/>
      <c r="J647" s="31"/>
      <c r="K647" s="31"/>
      <c r="L647" s="31"/>
      <c r="M647" s="31"/>
      <c r="N647" s="33"/>
      <c r="O647" s="31"/>
    </row>
    <row r="648" spans="1:15" ht="15.75" customHeight="1">
      <c r="A648" s="31"/>
      <c r="B648" s="31"/>
      <c r="C648" s="32"/>
      <c r="D648" s="31"/>
      <c r="E648" s="31"/>
      <c r="F648" s="31"/>
      <c r="G648" s="31"/>
      <c r="H648" s="31"/>
      <c r="I648" s="31"/>
      <c r="J648" s="31"/>
      <c r="K648" s="31"/>
      <c r="L648" s="31"/>
      <c r="M648" s="31"/>
      <c r="N648" s="33"/>
      <c r="O648" s="31"/>
    </row>
    <row r="649" spans="1:15" ht="15.75" customHeight="1">
      <c r="A649" s="31"/>
      <c r="B649" s="31"/>
      <c r="C649" s="32"/>
      <c r="D649" s="31"/>
      <c r="E649" s="31"/>
      <c r="F649" s="31"/>
      <c r="G649" s="31"/>
      <c r="H649" s="31"/>
      <c r="I649" s="31"/>
      <c r="J649" s="31"/>
      <c r="K649" s="31"/>
      <c r="L649" s="31"/>
      <c r="M649" s="31"/>
      <c r="N649" s="33"/>
      <c r="O649" s="31"/>
    </row>
    <row r="650" spans="1:15" ht="15.75" customHeight="1">
      <c r="A650" s="31"/>
      <c r="B650" s="31"/>
      <c r="C650" s="32"/>
      <c r="D650" s="31"/>
      <c r="E650" s="31"/>
      <c r="F650" s="31"/>
      <c r="G650" s="31"/>
      <c r="H650" s="31"/>
      <c r="I650" s="31"/>
      <c r="J650" s="31"/>
      <c r="K650" s="31"/>
      <c r="L650" s="31"/>
      <c r="M650" s="31"/>
      <c r="N650" s="33"/>
      <c r="O650" s="31"/>
    </row>
    <row r="651" spans="1:15" ht="15.75" customHeight="1">
      <c r="A651" s="31"/>
      <c r="B651" s="31"/>
      <c r="C651" s="32"/>
      <c r="D651" s="31"/>
      <c r="E651" s="31"/>
      <c r="F651" s="31"/>
      <c r="G651" s="31"/>
      <c r="H651" s="31"/>
      <c r="I651" s="31"/>
      <c r="J651" s="31"/>
      <c r="K651" s="31"/>
      <c r="L651" s="31"/>
      <c r="M651" s="31"/>
      <c r="N651" s="33"/>
      <c r="O651" s="31"/>
    </row>
    <row r="652" spans="1:15" ht="15.75" customHeight="1">
      <c r="A652" s="31"/>
      <c r="B652" s="31"/>
      <c r="C652" s="32"/>
      <c r="D652" s="31"/>
      <c r="E652" s="31"/>
      <c r="F652" s="31"/>
      <c r="G652" s="31"/>
      <c r="H652" s="31"/>
      <c r="I652" s="31"/>
      <c r="J652" s="31"/>
      <c r="K652" s="31"/>
      <c r="L652" s="31"/>
      <c r="M652" s="31"/>
      <c r="N652" s="33"/>
      <c r="O652" s="31"/>
    </row>
    <row r="653" spans="1:15" ht="15.75" customHeight="1">
      <c r="A653" s="31"/>
      <c r="B653" s="31"/>
      <c r="C653" s="32"/>
      <c r="D653" s="31"/>
      <c r="E653" s="31"/>
      <c r="F653" s="31"/>
      <c r="G653" s="31"/>
      <c r="H653" s="31"/>
      <c r="I653" s="31"/>
      <c r="J653" s="31"/>
      <c r="K653" s="31"/>
      <c r="L653" s="31"/>
      <c r="M653" s="31"/>
      <c r="N653" s="33"/>
      <c r="O653" s="31"/>
    </row>
    <row r="654" spans="1:15" ht="15.75" customHeight="1">
      <c r="A654" s="31"/>
      <c r="B654" s="31"/>
      <c r="C654" s="32"/>
      <c r="D654" s="31"/>
      <c r="E654" s="31"/>
      <c r="F654" s="31"/>
      <c r="G654" s="31"/>
      <c r="H654" s="31"/>
      <c r="I654" s="31"/>
      <c r="J654" s="31"/>
      <c r="K654" s="31"/>
      <c r="L654" s="31"/>
      <c r="M654" s="31"/>
      <c r="N654" s="33"/>
      <c r="O654" s="31"/>
    </row>
    <row r="655" spans="1:15" ht="15.75" customHeight="1">
      <c r="A655" s="31"/>
      <c r="B655" s="31"/>
      <c r="C655" s="32"/>
      <c r="D655" s="31"/>
      <c r="E655" s="31"/>
      <c r="F655" s="31"/>
      <c r="G655" s="31"/>
      <c r="H655" s="31"/>
      <c r="I655" s="31"/>
      <c r="J655" s="31"/>
      <c r="K655" s="31"/>
      <c r="L655" s="31"/>
      <c r="M655" s="31"/>
      <c r="N655" s="33"/>
      <c r="O655" s="31"/>
    </row>
    <row r="656" spans="1:15" ht="15.75" customHeight="1">
      <c r="A656" s="31"/>
      <c r="B656" s="31"/>
      <c r="C656" s="32"/>
      <c r="D656" s="31"/>
      <c r="E656" s="31"/>
      <c r="F656" s="31"/>
      <c r="G656" s="31"/>
      <c r="H656" s="31"/>
      <c r="I656" s="31"/>
      <c r="J656" s="31"/>
      <c r="K656" s="31"/>
      <c r="L656" s="31"/>
      <c r="M656" s="31"/>
      <c r="N656" s="33"/>
      <c r="O656" s="31"/>
    </row>
    <row r="657" spans="1:15" ht="15.75" customHeight="1">
      <c r="A657" s="31"/>
      <c r="B657" s="31"/>
      <c r="C657" s="32"/>
      <c r="D657" s="31"/>
      <c r="E657" s="31"/>
      <c r="F657" s="31"/>
      <c r="G657" s="31"/>
      <c r="H657" s="31"/>
      <c r="I657" s="31"/>
      <c r="J657" s="31"/>
      <c r="K657" s="31"/>
      <c r="L657" s="31"/>
      <c r="M657" s="31"/>
      <c r="N657" s="33"/>
      <c r="O657" s="31"/>
    </row>
    <row r="658" spans="1:15" ht="15.75" customHeight="1">
      <c r="A658" s="31"/>
      <c r="B658" s="31"/>
      <c r="C658" s="32"/>
      <c r="D658" s="31"/>
      <c r="E658" s="31"/>
      <c r="F658" s="31"/>
      <c r="G658" s="31"/>
      <c r="H658" s="31"/>
      <c r="I658" s="31"/>
      <c r="J658" s="31"/>
      <c r="K658" s="31"/>
      <c r="L658" s="31"/>
      <c r="M658" s="31"/>
      <c r="N658" s="33"/>
      <c r="O658" s="31"/>
    </row>
    <row r="659" spans="1:15" ht="15.75" customHeight="1">
      <c r="A659" s="31"/>
      <c r="B659" s="31"/>
      <c r="C659" s="32"/>
      <c r="D659" s="31"/>
      <c r="E659" s="31"/>
      <c r="F659" s="31"/>
      <c r="G659" s="31"/>
      <c r="H659" s="31"/>
      <c r="I659" s="31"/>
      <c r="J659" s="31"/>
      <c r="K659" s="31"/>
      <c r="L659" s="31"/>
      <c r="M659" s="31"/>
      <c r="N659" s="33"/>
      <c r="O659" s="31"/>
    </row>
    <row r="660" spans="1:15" ht="15.75" customHeight="1">
      <c r="A660" s="31"/>
      <c r="B660" s="31"/>
      <c r="C660" s="32"/>
      <c r="D660" s="31"/>
      <c r="E660" s="31"/>
      <c r="F660" s="31"/>
      <c r="G660" s="31"/>
      <c r="H660" s="31"/>
      <c r="I660" s="31"/>
      <c r="J660" s="31"/>
      <c r="K660" s="31"/>
      <c r="L660" s="31"/>
      <c r="M660" s="31"/>
      <c r="N660" s="33"/>
      <c r="O660" s="31"/>
    </row>
    <row r="661" spans="1:15" ht="15.75" customHeight="1">
      <c r="A661" s="31"/>
      <c r="B661" s="31"/>
      <c r="C661" s="32"/>
      <c r="D661" s="31"/>
      <c r="E661" s="31"/>
      <c r="F661" s="31"/>
      <c r="G661" s="31"/>
      <c r="H661" s="31"/>
      <c r="I661" s="31"/>
      <c r="J661" s="31"/>
      <c r="K661" s="31"/>
      <c r="L661" s="31"/>
      <c r="M661" s="31"/>
      <c r="N661" s="33"/>
      <c r="O661" s="31"/>
    </row>
    <row r="662" spans="1:15" ht="15.75" customHeight="1">
      <c r="A662" s="31"/>
      <c r="B662" s="31"/>
      <c r="C662" s="32"/>
      <c r="D662" s="31"/>
      <c r="E662" s="31"/>
      <c r="F662" s="31"/>
      <c r="G662" s="31"/>
      <c r="H662" s="31"/>
      <c r="I662" s="31"/>
      <c r="J662" s="31"/>
      <c r="K662" s="31"/>
      <c r="L662" s="31"/>
      <c r="M662" s="31"/>
      <c r="N662" s="33"/>
      <c r="O662" s="31"/>
    </row>
    <row r="663" spans="1:15" ht="15.75" customHeight="1">
      <c r="A663" s="31"/>
      <c r="B663" s="31"/>
      <c r="C663" s="32"/>
      <c r="D663" s="31"/>
      <c r="E663" s="31"/>
      <c r="F663" s="31"/>
      <c r="G663" s="31"/>
      <c r="H663" s="31"/>
      <c r="I663" s="31"/>
      <c r="J663" s="31"/>
      <c r="K663" s="31"/>
      <c r="L663" s="31"/>
      <c r="M663" s="31"/>
      <c r="N663" s="33"/>
      <c r="O663" s="31"/>
    </row>
    <row r="664" spans="1:15" ht="15.75" customHeight="1">
      <c r="A664" s="31"/>
      <c r="B664" s="31"/>
      <c r="C664" s="32"/>
      <c r="D664" s="31"/>
      <c r="E664" s="31"/>
      <c r="F664" s="31"/>
      <c r="G664" s="31"/>
      <c r="H664" s="31"/>
      <c r="I664" s="31"/>
      <c r="J664" s="31"/>
      <c r="K664" s="31"/>
      <c r="L664" s="31"/>
      <c r="M664" s="31"/>
      <c r="N664" s="33"/>
      <c r="O664" s="31"/>
    </row>
    <row r="665" spans="1:15" ht="15.75" customHeight="1">
      <c r="A665" s="31"/>
      <c r="B665" s="31"/>
      <c r="C665" s="32"/>
      <c r="D665" s="31"/>
      <c r="E665" s="31"/>
      <c r="F665" s="31"/>
      <c r="G665" s="31"/>
      <c r="H665" s="31"/>
      <c r="I665" s="31"/>
      <c r="J665" s="31"/>
      <c r="K665" s="31"/>
      <c r="L665" s="31"/>
      <c r="M665" s="31"/>
      <c r="N665" s="33"/>
      <c r="O665" s="31"/>
    </row>
    <row r="666" spans="1:15" ht="15.75" customHeight="1">
      <c r="A666" s="31"/>
      <c r="B666" s="31"/>
      <c r="C666" s="32"/>
      <c r="D666" s="31"/>
      <c r="E666" s="31"/>
      <c r="F666" s="31"/>
      <c r="G666" s="31"/>
      <c r="H666" s="31"/>
      <c r="I666" s="31"/>
      <c r="J666" s="31"/>
      <c r="K666" s="31"/>
      <c r="L666" s="31"/>
      <c r="M666" s="31"/>
      <c r="N666" s="33"/>
      <c r="O666" s="31"/>
    </row>
    <row r="667" spans="1:15" ht="15.75" customHeight="1">
      <c r="A667" s="31"/>
      <c r="B667" s="31"/>
      <c r="C667" s="32"/>
      <c r="D667" s="31"/>
      <c r="E667" s="31"/>
      <c r="F667" s="31"/>
      <c r="G667" s="31"/>
      <c r="H667" s="31"/>
      <c r="I667" s="31"/>
      <c r="J667" s="31"/>
      <c r="K667" s="31"/>
      <c r="L667" s="31"/>
      <c r="M667" s="31"/>
      <c r="N667" s="33"/>
      <c r="O667" s="31"/>
    </row>
    <row r="668" spans="1:15" ht="15.75" customHeight="1">
      <c r="A668" s="31"/>
      <c r="B668" s="31"/>
      <c r="C668" s="32"/>
      <c r="D668" s="31"/>
      <c r="E668" s="31"/>
      <c r="F668" s="31"/>
      <c r="G668" s="31"/>
      <c r="H668" s="31"/>
      <c r="I668" s="31"/>
      <c r="J668" s="31"/>
      <c r="K668" s="31"/>
      <c r="L668" s="31"/>
      <c r="M668" s="31"/>
      <c r="N668" s="33"/>
      <c r="O668" s="31"/>
    </row>
    <row r="669" spans="1:15" ht="15.75" customHeight="1">
      <c r="A669" s="31"/>
      <c r="B669" s="31"/>
      <c r="C669" s="32"/>
      <c r="D669" s="31"/>
      <c r="E669" s="31"/>
      <c r="F669" s="31"/>
      <c r="G669" s="31"/>
      <c r="H669" s="31"/>
      <c r="I669" s="31"/>
      <c r="J669" s="31"/>
      <c r="K669" s="31"/>
      <c r="L669" s="31"/>
      <c r="M669" s="31"/>
      <c r="N669" s="33"/>
      <c r="O669" s="31"/>
    </row>
    <row r="670" spans="1:15" ht="15.75" customHeight="1">
      <c r="A670" s="31"/>
      <c r="B670" s="31"/>
      <c r="C670" s="32"/>
      <c r="D670" s="31"/>
      <c r="E670" s="31"/>
      <c r="F670" s="31"/>
      <c r="G670" s="31"/>
      <c r="H670" s="31"/>
      <c r="I670" s="31"/>
      <c r="J670" s="31"/>
      <c r="K670" s="31"/>
      <c r="L670" s="31"/>
      <c r="M670" s="31"/>
      <c r="N670" s="33"/>
      <c r="O670" s="31"/>
    </row>
    <row r="671" spans="1:15" ht="15.75" customHeight="1">
      <c r="A671" s="31"/>
      <c r="B671" s="31"/>
      <c r="C671" s="32"/>
      <c r="D671" s="31"/>
      <c r="E671" s="31"/>
      <c r="F671" s="31"/>
      <c r="G671" s="31"/>
      <c r="H671" s="31"/>
      <c r="I671" s="31"/>
      <c r="J671" s="31"/>
      <c r="K671" s="31"/>
      <c r="L671" s="31"/>
      <c r="M671" s="31"/>
      <c r="N671" s="33"/>
      <c r="O671" s="31"/>
    </row>
    <row r="672" spans="1:15" ht="15.75" customHeight="1">
      <c r="A672" s="31"/>
      <c r="B672" s="31"/>
      <c r="C672" s="32"/>
      <c r="D672" s="31"/>
      <c r="E672" s="31"/>
      <c r="F672" s="31"/>
      <c r="G672" s="31"/>
      <c r="H672" s="31"/>
      <c r="I672" s="31"/>
      <c r="J672" s="31"/>
      <c r="K672" s="31"/>
      <c r="L672" s="31"/>
      <c r="M672" s="31"/>
      <c r="N672" s="33"/>
      <c r="O672" s="31"/>
    </row>
    <row r="673" spans="1:15" ht="15.75" customHeight="1">
      <c r="A673" s="31"/>
      <c r="B673" s="31"/>
      <c r="C673" s="32"/>
      <c r="D673" s="31"/>
      <c r="E673" s="31"/>
      <c r="F673" s="31"/>
      <c r="G673" s="31"/>
      <c r="H673" s="31"/>
      <c r="I673" s="31"/>
      <c r="J673" s="31"/>
      <c r="K673" s="31"/>
      <c r="L673" s="31"/>
      <c r="M673" s="31"/>
      <c r="N673" s="33"/>
      <c r="O673" s="31"/>
    </row>
    <row r="674" spans="1:15" ht="15.75" customHeight="1">
      <c r="A674" s="31"/>
      <c r="B674" s="31"/>
      <c r="C674" s="32"/>
      <c r="D674" s="31"/>
      <c r="E674" s="31"/>
      <c r="F674" s="31"/>
      <c r="G674" s="31"/>
      <c r="H674" s="31"/>
      <c r="I674" s="31"/>
      <c r="J674" s="31"/>
      <c r="K674" s="31"/>
      <c r="L674" s="31"/>
      <c r="M674" s="31"/>
      <c r="N674" s="33"/>
      <c r="O674" s="31"/>
    </row>
    <row r="675" spans="1:15" ht="15.75" customHeight="1">
      <c r="A675" s="31"/>
      <c r="B675" s="31"/>
      <c r="C675" s="32"/>
      <c r="D675" s="31"/>
      <c r="E675" s="31"/>
      <c r="F675" s="31"/>
      <c r="G675" s="31"/>
      <c r="H675" s="31"/>
      <c r="I675" s="31"/>
      <c r="J675" s="31"/>
      <c r="K675" s="31"/>
      <c r="L675" s="31"/>
      <c r="M675" s="31"/>
      <c r="N675" s="33"/>
      <c r="O675" s="31"/>
    </row>
    <row r="676" spans="1:15" ht="15.75" customHeight="1">
      <c r="A676" s="31"/>
      <c r="B676" s="31"/>
      <c r="C676" s="32"/>
      <c r="D676" s="31"/>
      <c r="E676" s="31"/>
      <c r="F676" s="31"/>
      <c r="G676" s="31"/>
      <c r="H676" s="31"/>
      <c r="I676" s="31"/>
      <c r="J676" s="31"/>
      <c r="K676" s="31"/>
      <c r="L676" s="31"/>
      <c r="M676" s="31"/>
      <c r="N676" s="33"/>
      <c r="O676" s="31"/>
    </row>
    <row r="677" spans="1:15" ht="15.75" customHeight="1">
      <c r="A677" s="31"/>
      <c r="B677" s="31"/>
      <c r="C677" s="32"/>
      <c r="D677" s="31"/>
      <c r="E677" s="31"/>
      <c r="F677" s="31"/>
      <c r="G677" s="31"/>
      <c r="H677" s="31"/>
      <c r="I677" s="31"/>
      <c r="J677" s="31"/>
      <c r="K677" s="31"/>
      <c r="L677" s="31"/>
      <c r="M677" s="31"/>
      <c r="N677" s="33"/>
      <c r="O677" s="31"/>
    </row>
    <row r="678" spans="1:15" ht="15.75" customHeight="1">
      <c r="A678" s="31"/>
      <c r="B678" s="31"/>
      <c r="C678" s="32"/>
      <c r="D678" s="31"/>
      <c r="E678" s="31"/>
      <c r="F678" s="31"/>
      <c r="G678" s="31"/>
      <c r="H678" s="31"/>
      <c r="I678" s="31"/>
      <c r="J678" s="31"/>
      <c r="K678" s="31"/>
      <c r="L678" s="31"/>
      <c r="M678" s="31"/>
      <c r="N678" s="33"/>
      <c r="O678" s="31"/>
    </row>
    <row r="679" spans="1:15" ht="15.75" customHeight="1">
      <c r="A679" s="31"/>
      <c r="B679" s="31"/>
      <c r="C679" s="32"/>
      <c r="D679" s="31"/>
      <c r="E679" s="31"/>
      <c r="F679" s="31"/>
      <c r="G679" s="31"/>
      <c r="H679" s="31"/>
      <c r="I679" s="31"/>
      <c r="J679" s="31"/>
      <c r="K679" s="31"/>
      <c r="L679" s="31"/>
      <c r="M679" s="31"/>
      <c r="N679" s="33"/>
      <c r="O679" s="31"/>
    </row>
    <row r="680" spans="1:15" ht="15.75" customHeight="1">
      <c r="A680" s="31"/>
      <c r="B680" s="31"/>
      <c r="C680" s="32"/>
      <c r="D680" s="31"/>
      <c r="E680" s="31"/>
      <c r="F680" s="31"/>
      <c r="G680" s="31"/>
      <c r="H680" s="31"/>
      <c r="I680" s="31"/>
      <c r="J680" s="31"/>
      <c r="K680" s="31"/>
      <c r="L680" s="31"/>
      <c r="M680" s="31"/>
      <c r="N680" s="33"/>
      <c r="O680" s="31"/>
    </row>
    <row r="681" spans="1:15" ht="15.75" customHeight="1">
      <c r="A681" s="31"/>
      <c r="B681" s="31"/>
      <c r="C681" s="32"/>
      <c r="D681" s="31"/>
      <c r="E681" s="31"/>
      <c r="F681" s="31"/>
      <c r="G681" s="31"/>
      <c r="H681" s="31"/>
      <c r="I681" s="31"/>
      <c r="J681" s="31"/>
      <c r="K681" s="31"/>
      <c r="L681" s="31"/>
      <c r="M681" s="31"/>
      <c r="N681" s="33"/>
      <c r="O681" s="31"/>
    </row>
    <row r="682" spans="1:15" ht="15.75" customHeight="1">
      <c r="A682" s="31"/>
      <c r="B682" s="31"/>
      <c r="C682" s="32"/>
      <c r="D682" s="31"/>
      <c r="E682" s="31"/>
      <c r="F682" s="31"/>
      <c r="G682" s="31"/>
      <c r="H682" s="31"/>
      <c r="I682" s="31"/>
      <c r="J682" s="31"/>
      <c r="K682" s="31"/>
      <c r="L682" s="31"/>
      <c r="M682" s="31"/>
      <c r="N682" s="33"/>
      <c r="O682" s="31"/>
    </row>
    <row r="683" spans="1:15" ht="15.75" customHeight="1">
      <c r="A683" s="31"/>
      <c r="B683" s="31"/>
      <c r="C683" s="32"/>
      <c r="D683" s="31"/>
      <c r="E683" s="31"/>
      <c r="F683" s="31"/>
      <c r="G683" s="31"/>
      <c r="H683" s="31"/>
      <c r="I683" s="31"/>
      <c r="J683" s="31"/>
      <c r="K683" s="31"/>
      <c r="L683" s="31"/>
      <c r="M683" s="31"/>
      <c r="N683" s="33"/>
      <c r="O683" s="31"/>
    </row>
    <row r="684" spans="1:15" ht="15.75" customHeight="1">
      <c r="A684" s="31"/>
      <c r="B684" s="31"/>
      <c r="C684" s="32"/>
      <c r="D684" s="31"/>
      <c r="E684" s="31"/>
      <c r="F684" s="31"/>
      <c r="G684" s="31"/>
      <c r="H684" s="31"/>
      <c r="I684" s="31"/>
      <c r="J684" s="31"/>
      <c r="K684" s="31"/>
      <c r="L684" s="31"/>
      <c r="M684" s="31"/>
      <c r="N684" s="33"/>
      <c r="O684" s="31"/>
    </row>
    <row r="685" spans="1:15" ht="15.75" customHeight="1">
      <c r="A685" s="31"/>
      <c r="B685" s="31"/>
      <c r="C685" s="32"/>
      <c r="D685" s="31"/>
      <c r="E685" s="31"/>
      <c r="F685" s="31"/>
      <c r="G685" s="31"/>
      <c r="H685" s="31"/>
      <c r="I685" s="31"/>
      <c r="J685" s="31"/>
      <c r="K685" s="31"/>
      <c r="L685" s="31"/>
      <c r="M685" s="31"/>
      <c r="N685" s="33"/>
      <c r="O685" s="31"/>
    </row>
    <row r="686" spans="1:15" ht="15.75" customHeight="1">
      <c r="A686" s="31"/>
      <c r="B686" s="31"/>
      <c r="C686" s="32"/>
      <c r="D686" s="31"/>
      <c r="E686" s="31"/>
      <c r="F686" s="31"/>
      <c r="G686" s="31"/>
      <c r="H686" s="31"/>
      <c r="I686" s="31"/>
      <c r="J686" s="31"/>
      <c r="K686" s="31"/>
      <c r="L686" s="31"/>
      <c r="M686" s="31"/>
      <c r="N686" s="33"/>
      <c r="O686" s="31"/>
    </row>
    <row r="687" spans="1:15" ht="15.75" customHeight="1">
      <c r="A687" s="31"/>
      <c r="B687" s="31"/>
      <c r="C687" s="32"/>
      <c r="D687" s="31"/>
      <c r="E687" s="31"/>
      <c r="F687" s="31"/>
      <c r="G687" s="31"/>
      <c r="H687" s="31"/>
      <c r="I687" s="31"/>
      <c r="J687" s="31"/>
      <c r="K687" s="31"/>
      <c r="L687" s="31"/>
      <c r="M687" s="31"/>
      <c r="N687" s="33"/>
      <c r="O687" s="31"/>
    </row>
    <row r="688" spans="1:15" ht="15.75" customHeight="1">
      <c r="A688" s="31"/>
      <c r="B688" s="31"/>
      <c r="C688" s="32"/>
      <c r="D688" s="31"/>
      <c r="E688" s="31"/>
      <c r="F688" s="31"/>
      <c r="G688" s="31"/>
      <c r="H688" s="31"/>
      <c r="I688" s="31"/>
      <c r="J688" s="31"/>
      <c r="K688" s="31"/>
      <c r="L688" s="31"/>
      <c r="M688" s="31"/>
      <c r="N688" s="33"/>
      <c r="O688" s="31"/>
    </row>
    <row r="689" spans="1:15" ht="15.75" customHeight="1">
      <c r="A689" s="31"/>
      <c r="B689" s="31"/>
      <c r="C689" s="32"/>
      <c r="D689" s="31"/>
      <c r="E689" s="31"/>
      <c r="F689" s="31"/>
      <c r="G689" s="31"/>
      <c r="H689" s="31"/>
      <c r="I689" s="31"/>
      <c r="J689" s="31"/>
      <c r="K689" s="31"/>
      <c r="L689" s="31"/>
      <c r="M689" s="31"/>
      <c r="N689" s="33"/>
      <c r="O689" s="31"/>
    </row>
    <row r="690" spans="1:15" ht="15.75" customHeight="1">
      <c r="A690" s="31"/>
      <c r="B690" s="31"/>
      <c r="C690" s="32"/>
      <c r="D690" s="31"/>
      <c r="E690" s="31"/>
      <c r="F690" s="31"/>
      <c r="G690" s="31"/>
      <c r="H690" s="31"/>
      <c r="I690" s="31"/>
      <c r="J690" s="31"/>
      <c r="K690" s="31"/>
      <c r="L690" s="31"/>
      <c r="M690" s="31"/>
      <c r="N690" s="33"/>
      <c r="O690" s="31"/>
    </row>
    <row r="691" spans="1:15" ht="15.75" customHeight="1">
      <c r="A691" s="31"/>
      <c r="B691" s="31"/>
      <c r="C691" s="32"/>
      <c r="D691" s="31"/>
      <c r="E691" s="31"/>
      <c r="F691" s="31"/>
      <c r="G691" s="31"/>
      <c r="H691" s="31"/>
      <c r="I691" s="31"/>
      <c r="J691" s="31"/>
      <c r="K691" s="31"/>
      <c r="L691" s="31"/>
      <c r="M691" s="31"/>
      <c r="N691" s="33"/>
      <c r="O691" s="31"/>
    </row>
    <row r="692" spans="1:15" ht="15.75" customHeight="1">
      <c r="A692" s="31"/>
      <c r="B692" s="31"/>
      <c r="C692" s="32"/>
      <c r="D692" s="31"/>
      <c r="E692" s="31"/>
      <c r="F692" s="31"/>
      <c r="G692" s="31"/>
      <c r="H692" s="31"/>
      <c r="I692" s="31"/>
      <c r="J692" s="31"/>
      <c r="K692" s="31"/>
      <c r="L692" s="31"/>
      <c r="M692" s="31"/>
      <c r="N692" s="33"/>
      <c r="O692" s="31"/>
    </row>
    <row r="693" spans="1:15" ht="15.75" customHeight="1">
      <c r="A693" s="31"/>
      <c r="B693" s="31"/>
      <c r="C693" s="32"/>
      <c r="D693" s="31"/>
      <c r="E693" s="31"/>
      <c r="F693" s="31"/>
      <c r="G693" s="31"/>
      <c r="H693" s="31"/>
      <c r="I693" s="31"/>
      <c r="J693" s="31"/>
      <c r="K693" s="31"/>
      <c r="L693" s="31"/>
      <c r="M693" s="31"/>
      <c r="N693" s="33"/>
      <c r="O693" s="31"/>
    </row>
    <row r="694" spans="1:15" ht="15.75" customHeight="1">
      <c r="A694" s="31"/>
      <c r="B694" s="31"/>
      <c r="C694" s="32"/>
      <c r="D694" s="31"/>
      <c r="E694" s="31"/>
      <c r="F694" s="31"/>
      <c r="G694" s="31"/>
      <c r="H694" s="31"/>
      <c r="I694" s="31"/>
      <c r="J694" s="31"/>
      <c r="K694" s="31"/>
      <c r="L694" s="31"/>
      <c r="M694" s="31"/>
      <c r="N694" s="33"/>
      <c r="O694" s="31"/>
    </row>
    <row r="695" spans="1:15" ht="15.75" customHeight="1">
      <c r="A695" s="31"/>
      <c r="B695" s="31"/>
      <c r="C695" s="32"/>
      <c r="D695" s="31"/>
      <c r="E695" s="31"/>
      <c r="F695" s="31"/>
      <c r="G695" s="31"/>
      <c r="H695" s="31"/>
      <c r="I695" s="31"/>
      <c r="J695" s="31"/>
      <c r="K695" s="31"/>
      <c r="L695" s="31"/>
      <c r="M695" s="31"/>
      <c r="N695" s="33"/>
      <c r="O695" s="31"/>
    </row>
    <row r="696" spans="1:15" ht="15.75" customHeight="1">
      <c r="A696" s="31"/>
      <c r="B696" s="31"/>
      <c r="C696" s="32"/>
      <c r="D696" s="31"/>
      <c r="E696" s="31"/>
      <c r="F696" s="31"/>
      <c r="G696" s="31"/>
      <c r="H696" s="31"/>
      <c r="I696" s="31"/>
      <c r="J696" s="31"/>
      <c r="K696" s="31"/>
      <c r="L696" s="31"/>
      <c r="M696" s="31"/>
      <c r="N696" s="33"/>
      <c r="O696" s="31"/>
    </row>
    <row r="697" spans="1:15" ht="15.75" customHeight="1">
      <c r="A697" s="31"/>
      <c r="B697" s="31"/>
      <c r="C697" s="32"/>
      <c r="D697" s="31"/>
      <c r="E697" s="31"/>
      <c r="F697" s="31"/>
      <c r="G697" s="31"/>
      <c r="H697" s="31"/>
      <c r="I697" s="31"/>
      <c r="J697" s="31"/>
      <c r="K697" s="31"/>
      <c r="L697" s="31"/>
      <c r="M697" s="31"/>
      <c r="N697" s="33"/>
      <c r="O697" s="31"/>
    </row>
    <row r="698" spans="1:15" ht="15.75" customHeight="1">
      <c r="A698" s="31"/>
      <c r="B698" s="31"/>
      <c r="C698" s="32"/>
      <c r="D698" s="31"/>
      <c r="E698" s="31"/>
      <c r="F698" s="31"/>
      <c r="G698" s="31"/>
      <c r="H698" s="31"/>
      <c r="I698" s="31"/>
      <c r="J698" s="31"/>
      <c r="K698" s="31"/>
      <c r="L698" s="31"/>
      <c r="M698" s="31"/>
      <c r="N698" s="33"/>
      <c r="O698" s="31"/>
    </row>
    <row r="699" spans="1:15" ht="15.75" customHeight="1">
      <c r="A699" s="31"/>
      <c r="B699" s="31"/>
      <c r="C699" s="32"/>
      <c r="D699" s="31"/>
      <c r="E699" s="31"/>
      <c r="F699" s="31"/>
      <c r="G699" s="31"/>
      <c r="H699" s="31"/>
      <c r="I699" s="31"/>
      <c r="J699" s="31"/>
      <c r="K699" s="31"/>
      <c r="L699" s="31"/>
      <c r="M699" s="31"/>
      <c r="N699" s="33"/>
      <c r="O699" s="31"/>
    </row>
    <row r="700" spans="1:15" ht="15.75" customHeight="1">
      <c r="A700" s="31"/>
      <c r="B700" s="31"/>
      <c r="C700" s="32"/>
      <c r="D700" s="31"/>
      <c r="E700" s="31"/>
      <c r="F700" s="31"/>
      <c r="G700" s="31"/>
      <c r="H700" s="31"/>
      <c r="I700" s="31"/>
      <c r="J700" s="31"/>
      <c r="K700" s="31"/>
      <c r="L700" s="31"/>
      <c r="M700" s="31"/>
      <c r="N700" s="33"/>
      <c r="O700" s="31"/>
    </row>
    <row r="701" spans="1:15" ht="15.75" customHeight="1">
      <c r="A701" s="31"/>
      <c r="B701" s="31"/>
      <c r="C701" s="32"/>
      <c r="D701" s="31"/>
      <c r="E701" s="31"/>
      <c r="F701" s="31"/>
      <c r="G701" s="31"/>
      <c r="H701" s="31"/>
      <c r="I701" s="31"/>
      <c r="J701" s="31"/>
      <c r="K701" s="31"/>
      <c r="L701" s="31"/>
      <c r="M701" s="31"/>
      <c r="N701" s="33"/>
      <c r="O701" s="31"/>
    </row>
    <row r="702" spans="1:15" ht="15.75" customHeight="1">
      <c r="A702" s="31"/>
      <c r="B702" s="31"/>
      <c r="C702" s="32"/>
      <c r="D702" s="31"/>
      <c r="E702" s="31"/>
      <c r="F702" s="31"/>
      <c r="G702" s="31"/>
      <c r="H702" s="31"/>
      <c r="I702" s="31"/>
      <c r="J702" s="31"/>
      <c r="K702" s="31"/>
      <c r="L702" s="31"/>
      <c r="M702" s="31"/>
      <c r="N702" s="33"/>
      <c r="O702" s="31"/>
    </row>
    <row r="703" spans="1:15" ht="15.75" customHeight="1">
      <c r="A703" s="31"/>
      <c r="B703" s="31"/>
      <c r="C703" s="32"/>
      <c r="D703" s="31"/>
      <c r="E703" s="31"/>
      <c r="F703" s="31"/>
      <c r="G703" s="31"/>
      <c r="H703" s="31"/>
      <c r="I703" s="31"/>
      <c r="J703" s="31"/>
      <c r="K703" s="31"/>
      <c r="L703" s="31"/>
      <c r="M703" s="31"/>
      <c r="N703" s="33"/>
      <c r="O703" s="31"/>
    </row>
    <row r="704" spans="1:15" ht="15.75" customHeight="1">
      <c r="A704" s="31"/>
      <c r="B704" s="31"/>
      <c r="C704" s="32"/>
      <c r="D704" s="31"/>
      <c r="E704" s="31"/>
      <c r="F704" s="31"/>
      <c r="G704" s="31"/>
      <c r="H704" s="31"/>
      <c r="I704" s="31"/>
      <c r="J704" s="31"/>
      <c r="K704" s="31"/>
      <c r="L704" s="31"/>
      <c r="M704" s="31"/>
      <c r="N704" s="33"/>
      <c r="O704" s="31"/>
    </row>
    <row r="705" spans="1:15" ht="15.75" customHeight="1">
      <c r="A705" s="31"/>
      <c r="B705" s="31"/>
      <c r="C705" s="32"/>
      <c r="D705" s="31"/>
      <c r="E705" s="31"/>
      <c r="F705" s="31"/>
      <c r="G705" s="31"/>
      <c r="H705" s="31"/>
      <c r="I705" s="31"/>
      <c r="J705" s="31"/>
      <c r="K705" s="31"/>
      <c r="L705" s="31"/>
      <c r="M705" s="31"/>
      <c r="N705" s="33"/>
      <c r="O705" s="31"/>
    </row>
    <row r="706" spans="1:15" ht="15.75" customHeight="1">
      <c r="A706" s="31"/>
      <c r="B706" s="31"/>
      <c r="C706" s="32"/>
      <c r="D706" s="31"/>
      <c r="E706" s="31"/>
      <c r="F706" s="31"/>
      <c r="G706" s="31"/>
      <c r="H706" s="31"/>
      <c r="I706" s="31"/>
      <c r="J706" s="31"/>
      <c r="K706" s="31"/>
      <c r="L706" s="31"/>
      <c r="M706" s="31"/>
      <c r="N706" s="33"/>
      <c r="O706" s="31"/>
    </row>
    <row r="707" spans="1:15" ht="15.75" customHeight="1">
      <c r="A707" s="31"/>
      <c r="B707" s="31"/>
      <c r="C707" s="32"/>
      <c r="D707" s="31"/>
      <c r="E707" s="31"/>
      <c r="F707" s="31"/>
      <c r="G707" s="31"/>
      <c r="H707" s="31"/>
      <c r="I707" s="31"/>
      <c r="J707" s="31"/>
      <c r="K707" s="31"/>
      <c r="L707" s="31"/>
      <c r="M707" s="31"/>
      <c r="N707" s="33"/>
      <c r="O707" s="31"/>
    </row>
    <row r="708" spans="1:15" ht="15.75" customHeight="1">
      <c r="A708" s="31"/>
      <c r="B708" s="31"/>
      <c r="C708" s="32"/>
      <c r="D708" s="31"/>
      <c r="E708" s="31"/>
      <c r="F708" s="31"/>
      <c r="G708" s="31"/>
      <c r="H708" s="31"/>
      <c r="I708" s="31"/>
      <c r="J708" s="31"/>
      <c r="K708" s="31"/>
      <c r="L708" s="31"/>
      <c r="M708" s="31"/>
      <c r="N708" s="33"/>
      <c r="O708" s="31"/>
    </row>
    <row r="709" spans="1:15" ht="15.75" customHeight="1">
      <c r="A709" s="31"/>
      <c r="B709" s="31"/>
      <c r="C709" s="32"/>
      <c r="D709" s="31"/>
      <c r="E709" s="31"/>
      <c r="F709" s="31"/>
      <c r="G709" s="31"/>
      <c r="H709" s="31"/>
      <c r="I709" s="31"/>
      <c r="J709" s="31"/>
      <c r="K709" s="31"/>
      <c r="L709" s="31"/>
      <c r="M709" s="31"/>
      <c r="N709" s="33"/>
      <c r="O709" s="31"/>
    </row>
    <row r="710" spans="1:15" ht="15.75" customHeight="1">
      <c r="A710" s="31"/>
      <c r="B710" s="31"/>
      <c r="C710" s="32"/>
      <c r="D710" s="31"/>
      <c r="E710" s="31"/>
      <c r="F710" s="31"/>
      <c r="G710" s="31"/>
      <c r="H710" s="31"/>
      <c r="I710" s="31"/>
      <c r="J710" s="31"/>
      <c r="K710" s="31"/>
      <c r="L710" s="31"/>
      <c r="M710" s="31"/>
      <c r="N710" s="33"/>
      <c r="O710" s="31"/>
    </row>
    <row r="711" spans="1:15" ht="15.75" customHeight="1">
      <c r="A711" s="31"/>
      <c r="B711" s="31"/>
      <c r="C711" s="32"/>
      <c r="D711" s="31"/>
      <c r="E711" s="31"/>
      <c r="F711" s="31"/>
      <c r="G711" s="31"/>
      <c r="H711" s="31"/>
      <c r="I711" s="31"/>
      <c r="J711" s="31"/>
      <c r="K711" s="31"/>
      <c r="L711" s="31"/>
      <c r="M711" s="31"/>
      <c r="N711" s="33"/>
      <c r="O711" s="31"/>
    </row>
    <row r="712" spans="1:15" ht="15.75" customHeight="1">
      <c r="A712" s="31"/>
      <c r="B712" s="31"/>
      <c r="C712" s="32"/>
      <c r="D712" s="31"/>
      <c r="E712" s="31"/>
      <c r="F712" s="31"/>
      <c r="G712" s="31"/>
      <c r="H712" s="31"/>
      <c r="I712" s="31"/>
      <c r="J712" s="31"/>
      <c r="K712" s="31"/>
      <c r="L712" s="31"/>
      <c r="M712" s="31"/>
      <c r="N712" s="33"/>
      <c r="O712" s="31"/>
    </row>
    <row r="713" spans="1:15" ht="15.75" customHeight="1">
      <c r="A713" s="31"/>
      <c r="B713" s="31"/>
      <c r="C713" s="32"/>
      <c r="D713" s="31"/>
      <c r="E713" s="31"/>
      <c r="F713" s="31"/>
      <c r="G713" s="31"/>
      <c r="H713" s="31"/>
      <c r="I713" s="31"/>
      <c r="J713" s="31"/>
      <c r="K713" s="31"/>
      <c r="L713" s="31"/>
      <c r="M713" s="31"/>
      <c r="N713" s="33"/>
      <c r="O713" s="31"/>
    </row>
    <row r="714" spans="1:15" ht="15.75" customHeight="1">
      <c r="A714" s="31"/>
      <c r="B714" s="31"/>
      <c r="C714" s="32"/>
      <c r="D714" s="31"/>
      <c r="E714" s="31"/>
      <c r="F714" s="31"/>
      <c r="G714" s="31"/>
      <c r="H714" s="31"/>
      <c r="I714" s="31"/>
      <c r="J714" s="31"/>
      <c r="K714" s="31"/>
      <c r="L714" s="31"/>
      <c r="M714" s="31"/>
      <c r="N714" s="33"/>
      <c r="O714" s="31"/>
    </row>
    <row r="715" spans="1:15" ht="15.75" customHeight="1">
      <c r="A715" s="31"/>
      <c r="B715" s="31"/>
      <c r="C715" s="32"/>
      <c r="D715" s="31"/>
      <c r="E715" s="31"/>
      <c r="F715" s="31"/>
      <c r="G715" s="31"/>
      <c r="H715" s="31"/>
      <c r="I715" s="31"/>
      <c r="J715" s="31"/>
      <c r="K715" s="31"/>
      <c r="L715" s="31"/>
      <c r="M715" s="31"/>
      <c r="N715" s="33"/>
      <c r="O715" s="31"/>
    </row>
    <row r="716" spans="1:15" ht="15.75" customHeight="1">
      <c r="A716" s="31"/>
      <c r="B716" s="31"/>
      <c r="C716" s="32"/>
      <c r="D716" s="31"/>
      <c r="E716" s="31"/>
      <c r="F716" s="31"/>
      <c r="G716" s="31"/>
      <c r="H716" s="31"/>
      <c r="I716" s="31"/>
      <c r="J716" s="31"/>
      <c r="K716" s="31"/>
      <c r="L716" s="31"/>
      <c r="M716" s="31"/>
      <c r="N716" s="33"/>
      <c r="O716" s="31"/>
    </row>
    <row r="717" spans="1:15" ht="15.75" customHeight="1">
      <c r="A717" s="31"/>
      <c r="B717" s="31"/>
      <c r="C717" s="32"/>
      <c r="D717" s="31"/>
      <c r="E717" s="31"/>
      <c r="F717" s="31"/>
      <c r="G717" s="31"/>
      <c r="H717" s="31"/>
      <c r="I717" s="31"/>
      <c r="J717" s="31"/>
      <c r="K717" s="31"/>
      <c r="L717" s="31"/>
      <c r="M717" s="31"/>
      <c r="N717" s="33"/>
      <c r="O717" s="31"/>
    </row>
    <row r="718" spans="1:15" ht="15.75" customHeight="1">
      <c r="A718" s="31"/>
      <c r="B718" s="31"/>
      <c r="C718" s="32"/>
      <c r="D718" s="31"/>
      <c r="E718" s="31"/>
      <c r="F718" s="31"/>
      <c r="G718" s="31"/>
      <c r="H718" s="31"/>
      <c r="I718" s="31"/>
      <c r="J718" s="31"/>
      <c r="K718" s="31"/>
      <c r="L718" s="31"/>
      <c r="M718" s="31"/>
      <c r="N718" s="33"/>
      <c r="O718" s="31"/>
    </row>
    <row r="719" spans="1:15" ht="15.75" customHeight="1">
      <c r="A719" s="31"/>
      <c r="B719" s="31"/>
      <c r="C719" s="32"/>
      <c r="D719" s="31"/>
      <c r="E719" s="31"/>
      <c r="F719" s="31"/>
      <c r="G719" s="31"/>
      <c r="H719" s="31"/>
      <c r="I719" s="31"/>
      <c r="J719" s="31"/>
      <c r="K719" s="31"/>
      <c r="L719" s="31"/>
      <c r="M719" s="31"/>
      <c r="N719" s="33"/>
      <c r="O719" s="31"/>
    </row>
    <row r="720" spans="1:15" ht="15.75" customHeight="1">
      <c r="A720" s="31"/>
      <c r="B720" s="31"/>
      <c r="C720" s="32"/>
      <c r="D720" s="31"/>
      <c r="E720" s="31"/>
      <c r="F720" s="31"/>
      <c r="G720" s="31"/>
      <c r="H720" s="31"/>
      <c r="I720" s="31"/>
      <c r="J720" s="31"/>
      <c r="K720" s="31"/>
      <c r="L720" s="31"/>
      <c r="M720" s="31"/>
      <c r="N720" s="33"/>
      <c r="O720" s="31"/>
    </row>
    <row r="721" spans="1:15" ht="15.75" customHeight="1">
      <c r="A721" s="31"/>
      <c r="B721" s="31"/>
      <c r="C721" s="32"/>
      <c r="D721" s="31"/>
      <c r="E721" s="31"/>
      <c r="F721" s="31"/>
      <c r="G721" s="31"/>
      <c r="H721" s="31"/>
      <c r="I721" s="31"/>
      <c r="J721" s="31"/>
      <c r="K721" s="31"/>
      <c r="L721" s="31"/>
      <c r="M721" s="31"/>
      <c r="N721" s="33"/>
      <c r="O721" s="31"/>
    </row>
    <row r="722" spans="1:15" ht="15.75" customHeight="1">
      <c r="A722" s="31"/>
      <c r="B722" s="31"/>
      <c r="C722" s="32"/>
      <c r="D722" s="31"/>
      <c r="E722" s="31"/>
      <c r="F722" s="31"/>
      <c r="G722" s="31"/>
      <c r="H722" s="31"/>
      <c r="I722" s="31"/>
      <c r="J722" s="31"/>
      <c r="K722" s="31"/>
      <c r="L722" s="31"/>
      <c r="M722" s="31"/>
      <c r="N722" s="33"/>
      <c r="O722" s="31"/>
    </row>
    <row r="723" spans="1:15" ht="15.75" customHeight="1">
      <c r="A723" s="31"/>
      <c r="B723" s="31"/>
      <c r="C723" s="32"/>
      <c r="D723" s="31"/>
      <c r="E723" s="31"/>
      <c r="F723" s="31"/>
      <c r="G723" s="31"/>
      <c r="H723" s="31"/>
      <c r="I723" s="31"/>
      <c r="J723" s="31"/>
      <c r="K723" s="31"/>
      <c r="L723" s="31"/>
      <c r="M723" s="31"/>
      <c r="N723" s="33"/>
      <c r="O723" s="31"/>
    </row>
    <row r="724" spans="1:15" ht="15.75" customHeight="1">
      <c r="A724" s="31"/>
      <c r="B724" s="31"/>
      <c r="C724" s="32"/>
      <c r="D724" s="31"/>
      <c r="E724" s="31"/>
      <c r="F724" s="31"/>
      <c r="G724" s="31"/>
      <c r="H724" s="31"/>
      <c r="I724" s="31"/>
      <c r="J724" s="31"/>
      <c r="K724" s="31"/>
      <c r="L724" s="31"/>
      <c r="M724" s="31"/>
      <c r="N724" s="33"/>
      <c r="O724" s="31"/>
    </row>
    <row r="725" spans="1:15" ht="15.75" customHeight="1">
      <c r="A725" s="31"/>
      <c r="B725" s="31"/>
      <c r="C725" s="32"/>
      <c r="D725" s="31"/>
      <c r="E725" s="31"/>
      <c r="F725" s="31"/>
      <c r="G725" s="31"/>
      <c r="H725" s="31"/>
      <c r="I725" s="31"/>
      <c r="J725" s="31"/>
      <c r="K725" s="31"/>
      <c r="L725" s="31"/>
      <c r="M725" s="31"/>
      <c r="N725" s="33"/>
      <c r="O725" s="31"/>
    </row>
    <row r="726" spans="1:15" ht="15.75" customHeight="1">
      <c r="A726" s="31"/>
      <c r="B726" s="31"/>
      <c r="C726" s="32"/>
      <c r="D726" s="31"/>
      <c r="E726" s="31"/>
      <c r="F726" s="31"/>
      <c r="G726" s="31"/>
      <c r="H726" s="31"/>
      <c r="I726" s="31"/>
      <c r="J726" s="31"/>
      <c r="K726" s="31"/>
      <c r="L726" s="31"/>
      <c r="M726" s="31"/>
      <c r="N726" s="33"/>
      <c r="O726" s="31"/>
    </row>
    <row r="727" spans="1:15" ht="15.75" customHeight="1">
      <c r="A727" s="31"/>
      <c r="B727" s="31"/>
      <c r="C727" s="32"/>
      <c r="D727" s="31"/>
      <c r="E727" s="31"/>
      <c r="F727" s="31"/>
      <c r="G727" s="31"/>
      <c r="H727" s="31"/>
      <c r="I727" s="31"/>
      <c r="J727" s="31"/>
      <c r="K727" s="31"/>
      <c r="L727" s="31"/>
      <c r="M727" s="31"/>
      <c r="N727" s="33"/>
      <c r="O727" s="31"/>
    </row>
    <row r="728" spans="1:15" ht="15.75" customHeight="1">
      <c r="A728" s="31"/>
      <c r="B728" s="31"/>
      <c r="C728" s="32"/>
      <c r="D728" s="31"/>
      <c r="E728" s="31"/>
      <c r="F728" s="31"/>
      <c r="G728" s="31"/>
      <c r="H728" s="31"/>
      <c r="I728" s="31"/>
      <c r="J728" s="31"/>
      <c r="K728" s="31"/>
      <c r="L728" s="31"/>
      <c r="M728" s="31"/>
      <c r="N728" s="33"/>
      <c r="O728" s="31"/>
    </row>
    <row r="729" spans="1:15" ht="15.75" customHeight="1">
      <c r="A729" s="31"/>
      <c r="B729" s="31"/>
      <c r="C729" s="32"/>
      <c r="D729" s="31"/>
      <c r="E729" s="31"/>
      <c r="F729" s="31"/>
      <c r="G729" s="31"/>
      <c r="H729" s="31"/>
      <c r="I729" s="31"/>
      <c r="J729" s="31"/>
      <c r="K729" s="31"/>
      <c r="L729" s="31"/>
      <c r="M729" s="31"/>
      <c r="N729" s="33"/>
      <c r="O729" s="31"/>
    </row>
    <row r="730" spans="1:15" ht="15.75" customHeight="1">
      <c r="A730" s="31"/>
      <c r="B730" s="31"/>
      <c r="C730" s="32"/>
      <c r="D730" s="31"/>
      <c r="E730" s="31"/>
      <c r="F730" s="31"/>
      <c r="G730" s="31"/>
      <c r="H730" s="31"/>
      <c r="I730" s="31"/>
      <c r="J730" s="31"/>
      <c r="K730" s="31"/>
      <c r="L730" s="31"/>
      <c r="M730" s="31"/>
      <c r="N730" s="33"/>
      <c r="O730" s="31"/>
    </row>
    <row r="731" spans="1:15" ht="15.75" customHeight="1">
      <c r="A731" s="31"/>
      <c r="B731" s="31"/>
      <c r="C731" s="32"/>
      <c r="D731" s="31"/>
      <c r="E731" s="31"/>
      <c r="F731" s="31"/>
      <c r="G731" s="31"/>
      <c r="H731" s="31"/>
      <c r="I731" s="31"/>
      <c r="J731" s="31"/>
      <c r="K731" s="31"/>
      <c r="L731" s="31"/>
      <c r="M731" s="31"/>
      <c r="N731" s="33"/>
      <c r="O731" s="31"/>
    </row>
    <row r="732" spans="1:15" ht="15.75" customHeight="1">
      <c r="A732" s="31"/>
      <c r="B732" s="31"/>
      <c r="C732" s="32"/>
      <c r="D732" s="31"/>
      <c r="E732" s="31"/>
      <c r="F732" s="31"/>
      <c r="G732" s="31"/>
      <c r="H732" s="31"/>
      <c r="I732" s="31"/>
      <c r="J732" s="31"/>
      <c r="K732" s="31"/>
      <c r="L732" s="31"/>
      <c r="M732" s="31"/>
      <c r="N732" s="33"/>
      <c r="O732" s="31"/>
    </row>
    <row r="733" spans="1:15" ht="15.75" customHeight="1">
      <c r="A733" s="31"/>
      <c r="B733" s="31"/>
      <c r="C733" s="32"/>
      <c r="D733" s="31"/>
      <c r="E733" s="31"/>
      <c r="F733" s="31"/>
      <c r="G733" s="31"/>
      <c r="H733" s="31"/>
      <c r="I733" s="31"/>
      <c r="J733" s="31"/>
      <c r="K733" s="31"/>
      <c r="L733" s="31"/>
      <c r="M733" s="31"/>
      <c r="N733" s="33"/>
      <c r="O733" s="31"/>
    </row>
    <row r="734" spans="1:15" ht="15.75" customHeight="1">
      <c r="A734" s="31"/>
      <c r="B734" s="31"/>
      <c r="C734" s="32"/>
      <c r="D734" s="31"/>
      <c r="E734" s="31"/>
      <c r="F734" s="31"/>
      <c r="G734" s="31"/>
      <c r="H734" s="31"/>
      <c r="I734" s="31"/>
      <c r="J734" s="31"/>
      <c r="K734" s="31"/>
      <c r="L734" s="31"/>
      <c r="M734" s="31"/>
      <c r="N734" s="33"/>
      <c r="O734" s="31"/>
    </row>
    <row r="735" spans="1:15" ht="15.75" customHeight="1">
      <c r="A735" s="31"/>
      <c r="B735" s="31"/>
      <c r="C735" s="32"/>
      <c r="D735" s="31"/>
      <c r="E735" s="31"/>
      <c r="F735" s="31"/>
      <c r="G735" s="31"/>
      <c r="H735" s="31"/>
      <c r="I735" s="31"/>
      <c r="J735" s="31"/>
      <c r="K735" s="31"/>
      <c r="L735" s="31"/>
      <c r="M735" s="31"/>
      <c r="N735" s="33"/>
      <c r="O735" s="31"/>
    </row>
    <row r="736" spans="1:15" ht="15.75" customHeight="1">
      <c r="A736" s="31"/>
      <c r="B736" s="31"/>
      <c r="C736" s="32"/>
      <c r="D736" s="31"/>
      <c r="E736" s="31"/>
      <c r="F736" s="31"/>
      <c r="G736" s="31"/>
      <c r="H736" s="31"/>
      <c r="I736" s="31"/>
      <c r="J736" s="31"/>
      <c r="K736" s="31"/>
      <c r="L736" s="31"/>
      <c r="M736" s="31"/>
      <c r="N736" s="33"/>
      <c r="O736" s="31"/>
    </row>
    <row r="737" spans="1:15" ht="15.75" customHeight="1">
      <c r="A737" s="31"/>
      <c r="B737" s="31"/>
      <c r="C737" s="32"/>
      <c r="D737" s="31"/>
      <c r="E737" s="31"/>
      <c r="F737" s="31"/>
      <c r="G737" s="31"/>
      <c r="H737" s="31"/>
      <c r="I737" s="31"/>
      <c r="J737" s="31"/>
      <c r="K737" s="31"/>
      <c r="L737" s="31"/>
      <c r="M737" s="31"/>
      <c r="N737" s="33"/>
      <c r="O737" s="31"/>
    </row>
    <row r="738" spans="1:15" ht="15.75" customHeight="1">
      <c r="A738" s="31"/>
      <c r="B738" s="31"/>
      <c r="C738" s="32"/>
      <c r="D738" s="31"/>
      <c r="E738" s="31"/>
      <c r="F738" s="31"/>
      <c r="G738" s="31"/>
      <c r="H738" s="31"/>
      <c r="I738" s="31"/>
      <c r="J738" s="31"/>
      <c r="K738" s="31"/>
      <c r="L738" s="31"/>
      <c r="M738" s="31"/>
      <c r="N738" s="33"/>
      <c r="O738" s="31"/>
    </row>
    <row r="739" spans="1:15" ht="15.75" customHeight="1">
      <c r="A739" s="31"/>
      <c r="B739" s="31"/>
      <c r="C739" s="32"/>
      <c r="D739" s="31"/>
      <c r="E739" s="31"/>
      <c r="F739" s="31"/>
      <c r="G739" s="31"/>
      <c r="H739" s="31"/>
      <c r="I739" s="31"/>
      <c r="J739" s="31"/>
      <c r="K739" s="31"/>
      <c r="L739" s="31"/>
      <c r="M739" s="31"/>
      <c r="N739" s="33"/>
      <c r="O739" s="31"/>
    </row>
    <row r="740" spans="1:15" ht="15.75" customHeight="1">
      <c r="A740" s="31"/>
      <c r="B740" s="31"/>
      <c r="C740" s="32"/>
      <c r="D740" s="31"/>
      <c r="E740" s="31"/>
      <c r="F740" s="31"/>
      <c r="G740" s="31"/>
      <c r="H740" s="31"/>
      <c r="I740" s="31"/>
      <c r="J740" s="31"/>
      <c r="K740" s="31"/>
      <c r="L740" s="31"/>
      <c r="M740" s="31"/>
      <c r="N740" s="33"/>
      <c r="O740" s="31"/>
    </row>
    <row r="741" spans="1:15" ht="15.75" customHeight="1">
      <c r="A741" s="31"/>
      <c r="B741" s="31"/>
      <c r="C741" s="32"/>
      <c r="D741" s="31"/>
      <c r="E741" s="31"/>
      <c r="F741" s="31"/>
      <c r="G741" s="31"/>
      <c r="H741" s="31"/>
      <c r="I741" s="31"/>
      <c r="J741" s="31"/>
      <c r="K741" s="31"/>
      <c r="L741" s="31"/>
      <c r="M741" s="31"/>
      <c r="N741" s="33"/>
      <c r="O741" s="31"/>
    </row>
    <row r="742" spans="1:15" ht="15.75" customHeight="1">
      <c r="A742" s="31"/>
      <c r="B742" s="31"/>
      <c r="C742" s="32"/>
      <c r="D742" s="31"/>
      <c r="E742" s="31"/>
      <c r="F742" s="31"/>
      <c r="G742" s="31"/>
      <c r="H742" s="31"/>
      <c r="I742" s="31"/>
      <c r="J742" s="31"/>
      <c r="K742" s="31"/>
      <c r="L742" s="31"/>
      <c r="M742" s="31"/>
      <c r="N742" s="33"/>
      <c r="O742" s="31"/>
    </row>
    <row r="743" spans="1:15" ht="15.75" customHeight="1">
      <c r="A743" s="31"/>
      <c r="B743" s="31"/>
      <c r="C743" s="32"/>
      <c r="D743" s="31"/>
      <c r="E743" s="31"/>
      <c r="F743" s="31"/>
      <c r="G743" s="31"/>
      <c r="H743" s="31"/>
      <c r="I743" s="31"/>
      <c r="J743" s="31"/>
      <c r="K743" s="31"/>
      <c r="L743" s="31"/>
      <c r="M743" s="31"/>
      <c r="N743" s="33"/>
      <c r="O743" s="31"/>
    </row>
    <row r="744" spans="1:15" ht="15.75" customHeight="1">
      <c r="A744" s="31"/>
      <c r="B744" s="31"/>
      <c r="C744" s="32"/>
      <c r="D744" s="31"/>
      <c r="E744" s="31"/>
      <c r="F744" s="31"/>
      <c r="G744" s="31"/>
      <c r="H744" s="31"/>
      <c r="I744" s="31"/>
      <c r="J744" s="31"/>
      <c r="K744" s="31"/>
      <c r="L744" s="31"/>
      <c r="M744" s="31"/>
      <c r="N744" s="33"/>
      <c r="O744" s="31"/>
    </row>
    <row r="745" spans="1:15" ht="15.75" customHeight="1">
      <c r="A745" s="31"/>
      <c r="B745" s="31"/>
      <c r="C745" s="32"/>
      <c r="D745" s="31"/>
      <c r="E745" s="31"/>
      <c r="F745" s="31"/>
      <c r="G745" s="31"/>
      <c r="H745" s="31"/>
      <c r="I745" s="31"/>
      <c r="J745" s="31"/>
      <c r="K745" s="31"/>
      <c r="L745" s="31"/>
      <c r="M745" s="31"/>
      <c r="N745" s="33"/>
      <c r="O745" s="31"/>
    </row>
    <row r="746" spans="1:15" ht="15.75" customHeight="1">
      <c r="A746" s="31"/>
      <c r="B746" s="31"/>
      <c r="C746" s="32"/>
      <c r="D746" s="31"/>
      <c r="E746" s="31"/>
      <c r="F746" s="31"/>
      <c r="G746" s="31"/>
      <c r="H746" s="31"/>
      <c r="I746" s="31"/>
      <c r="J746" s="31"/>
      <c r="K746" s="31"/>
      <c r="L746" s="31"/>
      <c r="M746" s="31"/>
      <c r="N746" s="33"/>
      <c r="O746" s="31"/>
    </row>
    <row r="747" spans="1:15" ht="15.75" customHeight="1">
      <c r="A747" s="31"/>
      <c r="B747" s="31"/>
      <c r="C747" s="32"/>
      <c r="D747" s="31"/>
      <c r="E747" s="31"/>
      <c r="F747" s="31"/>
      <c r="G747" s="31"/>
      <c r="H747" s="31"/>
      <c r="I747" s="31"/>
      <c r="J747" s="31"/>
      <c r="K747" s="31"/>
      <c r="L747" s="31"/>
      <c r="M747" s="31"/>
      <c r="N747" s="33"/>
      <c r="O747" s="31"/>
    </row>
    <row r="748" spans="1:15" ht="15.75" customHeight="1">
      <c r="A748" s="31"/>
      <c r="B748" s="31"/>
      <c r="C748" s="32"/>
      <c r="D748" s="31"/>
      <c r="E748" s="31"/>
      <c r="F748" s="31"/>
      <c r="G748" s="31"/>
      <c r="H748" s="31"/>
      <c r="I748" s="31"/>
      <c r="J748" s="31"/>
      <c r="K748" s="31"/>
      <c r="L748" s="31"/>
      <c r="M748" s="31"/>
      <c r="N748" s="33"/>
      <c r="O748" s="31"/>
    </row>
    <row r="749" spans="1:15" ht="15.75" customHeight="1">
      <c r="A749" s="31"/>
      <c r="B749" s="31"/>
      <c r="C749" s="32"/>
      <c r="D749" s="31"/>
      <c r="E749" s="31"/>
      <c r="F749" s="31"/>
      <c r="G749" s="31"/>
      <c r="H749" s="31"/>
      <c r="I749" s="31"/>
      <c r="J749" s="31"/>
      <c r="K749" s="31"/>
      <c r="L749" s="31"/>
      <c r="M749" s="31"/>
      <c r="N749" s="33"/>
      <c r="O749" s="31"/>
    </row>
    <row r="750" spans="1:15" ht="15.75" customHeight="1">
      <c r="A750" s="31"/>
      <c r="B750" s="31"/>
      <c r="C750" s="32"/>
      <c r="D750" s="31"/>
      <c r="E750" s="31"/>
      <c r="F750" s="31"/>
      <c r="G750" s="31"/>
      <c r="H750" s="31"/>
      <c r="I750" s="31"/>
      <c r="J750" s="31"/>
      <c r="K750" s="31"/>
      <c r="L750" s="31"/>
      <c r="M750" s="31"/>
      <c r="N750" s="33"/>
      <c r="O750" s="31"/>
    </row>
    <row r="751" spans="1:15" ht="15.75" customHeight="1">
      <c r="A751" s="31"/>
      <c r="B751" s="31"/>
      <c r="C751" s="32"/>
      <c r="D751" s="31"/>
      <c r="E751" s="31"/>
      <c r="F751" s="31"/>
      <c r="G751" s="31"/>
      <c r="H751" s="31"/>
      <c r="I751" s="31"/>
      <c r="J751" s="31"/>
      <c r="K751" s="31"/>
      <c r="L751" s="31"/>
      <c r="M751" s="31"/>
      <c r="N751" s="33"/>
      <c r="O751" s="31"/>
    </row>
    <row r="752" spans="1:15" ht="15.75" customHeight="1">
      <c r="A752" s="31"/>
      <c r="B752" s="31"/>
      <c r="C752" s="32"/>
      <c r="D752" s="31"/>
      <c r="E752" s="31"/>
      <c r="F752" s="31"/>
      <c r="G752" s="31"/>
      <c r="H752" s="31"/>
      <c r="I752" s="31"/>
      <c r="J752" s="31"/>
      <c r="K752" s="31"/>
      <c r="L752" s="31"/>
      <c r="M752" s="31"/>
      <c r="N752" s="33"/>
      <c r="O752" s="31"/>
    </row>
    <row r="753" spans="1:15" ht="15.75" customHeight="1">
      <c r="A753" s="31"/>
      <c r="B753" s="31"/>
      <c r="C753" s="32"/>
      <c r="D753" s="31"/>
      <c r="E753" s="31"/>
      <c r="F753" s="31"/>
      <c r="G753" s="31"/>
      <c r="H753" s="31"/>
      <c r="I753" s="31"/>
      <c r="J753" s="31"/>
      <c r="K753" s="31"/>
      <c r="L753" s="31"/>
      <c r="M753" s="31"/>
      <c r="N753" s="33"/>
      <c r="O753" s="31"/>
    </row>
    <row r="754" spans="1:15" ht="15.75" customHeight="1">
      <c r="A754" s="31"/>
      <c r="B754" s="31"/>
      <c r="C754" s="32"/>
      <c r="D754" s="31"/>
      <c r="E754" s="31"/>
      <c r="F754" s="31"/>
      <c r="G754" s="31"/>
      <c r="H754" s="31"/>
      <c r="I754" s="31"/>
      <c r="J754" s="31"/>
      <c r="K754" s="31"/>
      <c r="L754" s="31"/>
      <c r="M754" s="31"/>
      <c r="N754" s="33"/>
      <c r="O754" s="31"/>
    </row>
    <row r="755" spans="1:15" ht="15.75" customHeight="1">
      <c r="A755" s="31"/>
      <c r="B755" s="31"/>
      <c r="C755" s="32"/>
      <c r="D755" s="31"/>
      <c r="E755" s="31"/>
      <c r="F755" s="31"/>
      <c r="G755" s="31"/>
      <c r="H755" s="31"/>
      <c r="I755" s="31"/>
      <c r="J755" s="31"/>
      <c r="K755" s="31"/>
      <c r="L755" s="31"/>
      <c r="M755" s="31"/>
      <c r="N755" s="33"/>
      <c r="O755" s="31"/>
    </row>
    <row r="756" spans="1:15" ht="15.75" customHeight="1">
      <c r="A756" s="31"/>
      <c r="B756" s="31"/>
      <c r="C756" s="32"/>
      <c r="D756" s="31"/>
      <c r="E756" s="31"/>
      <c r="F756" s="31"/>
      <c r="G756" s="31"/>
      <c r="H756" s="31"/>
      <c r="I756" s="31"/>
      <c r="J756" s="31"/>
      <c r="K756" s="31"/>
      <c r="L756" s="31"/>
      <c r="M756" s="31"/>
      <c r="N756" s="33"/>
      <c r="O756" s="31"/>
    </row>
    <row r="757" spans="1:15" ht="15.75" customHeight="1">
      <c r="A757" s="31"/>
      <c r="B757" s="31"/>
      <c r="C757" s="32"/>
      <c r="D757" s="31"/>
      <c r="E757" s="31"/>
      <c r="F757" s="31"/>
      <c r="G757" s="31"/>
      <c r="H757" s="31"/>
      <c r="I757" s="31"/>
      <c r="J757" s="31"/>
      <c r="K757" s="31"/>
      <c r="L757" s="31"/>
      <c r="M757" s="31"/>
      <c r="N757" s="33"/>
      <c r="O757" s="31"/>
    </row>
    <row r="758" spans="1:15" ht="15.75" customHeight="1">
      <c r="A758" s="31"/>
      <c r="B758" s="31"/>
      <c r="C758" s="32"/>
      <c r="D758" s="31"/>
      <c r="E758" s="31"/>
      <c r="F758" s="31"/>
      <c r="G758" s="31"/>
      <c r="H758" s="31"/>
      <c r="I758" s="31"/>
      <c r="J758" s="31"/>
      <c r="K758" s="31"/>
      <c r="L758" s="31"/>
      <c r="M758" s="31"/>
      <c r="N758" s="33"/>
      <c r="O758" s="31"/>
    </row>
    <row r="759" spans="1:15" ht="15.75" customHeight="1">
      <c r="A759" s="31"/>
      <c r="B759" s="31"/>
      <c r="C759" s="32"/>
      <c r="D759" s="31"/>
      <c r="E759" s="31"/>
      <c r="F759" s="31"/>
      <c r="G759" s="31"/>
      <c r="H759" s="31"/>
      <c r="I759" s="31"/>
      <c r="J759" s="31"/>
      <c r="K759" s="31"/>
      <c r="L759" s="31"/>
      <c r="M759" s="31"/>
      <c r="N759" s="33"/>
      <c r="O759" s="31"/>
    </row>
    <row r="760" spans="1:15" ht="15.75" customHeight="1">
      <c r="A760" s="31"/>
      <c r="B760" s="31"/>
      <c r="C760" s="32"/>
      <c r="D760" s="31"/>
      <c r="E760" s="31"/>
      <c r="F760" s="31"/>
      <c r="G760" s="31"/>
      <c r="H760" s="31"/>
      <c r="I760" s="31"/>
      <c r="J760" s="31"/>
      <c r="K760" s="31"/>
      <c r="L760" s="31"/>
      <c r="M760" s="31"/>
      <c r="N760" s="33"/>
      <c r="O760" s="31"/>
    </row>
    <row r="761" spans="1:15" ht="15.75" customHeight="1">
      <c r="A761" s="31"/>
      <c r="B761" s="31"/>
      <c r="C761" s="32"/>
      <c r="D761" s="31"/>
      <c r="E761" s="31"/>
      <c r="F761" s="31"/>
      <c r="G761" s="31"/>
      <c r="H761" s="31"/>
      <c r="I761" s="31"/>
      <c r="J761" s="31"/>
      <c r="K761" s="31"/>
      <c r="L761" s="31"/>
      <c r="M761" s="31"/>
      <c r="N761" s="33"/>
      <c r="O761" s="31"/>
    </row>
    <row r="762" spans="1:15" ht="15.75" customHeight="1">
      <c r="A762" s="31"/>
      <c r="B762" s="31"/>
      <c r="C762" s="32"/>
      <c r="D762" s="31"/>
      <c r="E762" s="31"/>
      <c r="F762" s="31"/>
      <c r="G762" s="31"/>
      <c r="H762" s="31"/>
      <c r="I762" s="31"/>
      <c r="J762" s="31"/>
      <c r="K762" s="31"/>
      <c r="L762" s="31"/>
      <c r="M762" s="31"/>
      <c r="N762" s="33"/>
      <c r="O762" s="31"/>
    </row>
    <row r="763" spans="1:15" ht="15.75" customHeight="1">
      <c r="A763" s="31"/>
      <c r="B763" s="31"/>
      <c r="C763" s="32"/>
      <c r="D763" s="31"/>
      <c r="E763" s="31"/>
      <c r="F763" s="31"/>
      <c r="G763" s="31"/>
      <c r="H763" s="31"/>
      <c r="I763" s="31"/>
      <c r="J763" s="31"/>
      <c r="K763" s="31"/>
      <c r="L763" s="31"/>
      <c r="M763" s="31"/>
      <c r="N763" s="33"/>
      <c r="O763" s="31"/>
    </row>
    <row r="764" spans="1:15" ht="15.75" customHeight="1">
      <c r="A764" s="31"/>
      <c r="B764" s="31"/>
      <c r="C764" s="32"/>
      <c r="D764" s="31"/>
      <c r="E764" s="31"/>
      <c r="F764" s="31"/>
      <c r="G764" s="31"/>
      <c r="H764" s="31"/>
      <c r="I764" s="31"/>
      <c r="J764" s="31"/>
      <c r="K764" s="31"/>
      <c r="L764" s="31"/>
      <c r="M764" s="31"/>
      <c r="N764" s="33"/>
      <c r="O764" s="31"/>
    </row>
    <row r="765" spans="1:15" ht="15.75" customHeight="1">
      <c r="A765" s="31"/>
      <c r="B765" s="31"/>
      <c r="C765" s="32"/>
      <c r="D765" s="31"/>
      <c r="E765" s="31"/>
      <c r="F765" s="31"/>
      <c r="G765" s="31"/>
      <c r="H765" s="31"/>
      <c r="I765" s="31"/>
      <c r="J765" s="31"/>
      <c r="K765" s="31"/>
      <c r="L765" s="31"/>
      <c r="M765" s="31"/>
      <c r="N765" s="33"/>
      <c r="O765" s="31"/>
    </row>
    <row r="766" spans="1:15" ht="15.75" customHeight="1">
      <c r="A766" s="31"/>
      <c r="B766" s="31"/>
      <c r="C766" s="32"/>
      <c r="D766" s="31"/>
      <c r="E766" s="31"/>
      <c r="F766" s="31"/>
      <c r="G766" s="31"/>
      <c r="H766" s="31"/>
      <c r="I766" s="31"/>
      <c r="J766" s="31"/>
      <c r="K766" s="31"/>
      <c r="L766" s="31"/>
      <c r="M766" s="31"/>
      <c r="N766" s="33"/>
      <c r="O766" s="31"/>
    </row>
    <row r="767" spans="1:15" ht="15.75" customHeight="1">
      <c r="A767" s="31"/>
      <c r="B767" s="31"/>
      <c r="C767" s="32"/>
      <c r="D767" s="31"/>
      <c r="E767" s="31"/>
      <c r="F767" s="31"/>
      <c r="G767" s="31"/>
      <c r="H767" s="31"/>
      <c r="I767" s="31"/>
      <c r="J767" s="31"/>
      <c r="K767" s="31"/>
      <c r="L767" s="31"/>
      <c r="M767" s="31"/>
      <c r="N767" s="33"/>
      <c r="O767" s="31"/>
    </row>
    <row r="768" spans="1:15" ht="15.75" customHeight="1">
      <c r="A768" s="31"/>
      <c r="B768" s="31"/>
      <c r="C768" s="32"/>
      <c r="D768" s="31"/>
      <c r="E768" s="31"/>
      <c r="F768" s="31"/>
      <c r="G768" s="31"/>
      <c r="H768" s="31"/>
      <c r="I768" s="31"/>
      <c r="J768" s="31"/>
      <c r="K768" s="31"/>
      <c r="L768" s="31"/>
      <c r="M768" s="31"/>
      <c r="N768" s="33"/>
      <c r="O768" s="31"/>
    </row>
    <row r="769" spans="1:15" ht="15.75" customHeight="1">
      <c r="A769" s="31"/>
      <c r="B769" s="31"/>
      <c r="C769" s="32"/>
      <c r="D769" s="31"/>
      <c r="E769" s="31"/>
      <c r="F769" s="31"/>
      <c r="G769" s="31"/>
      <c r="H769" s="31"/>
      <c r="I769" s="31"/>
      <c r="J769" s="31"/>
      <c r="K769" s="31"/>
      <c r="L769" s="31"/>
      <c r="M769" s="31"/>
      <c r="N769" s="33"/>
      <c r="O769" s="31"/>
    </row>
    <row r="770" spans="1:15" ht="15.75" customHeight="1">
      <c r="A770" s="31"/>
      <c r="B770" s="31"/>
      <c r="C770" s="32"/>
      <c r="D770" s="31"/>
      <c r="E770" s="31"/>
      <c r="F770" s="31"/>
      <c r="G770" s="31"/>
      <c r="H770" s="31"/>
      <c r="I770" s="31"/>
      <c r="J770" s="31"/>
      <c r="K770" s="31"/>
      <c r="L770" s="31"/>
      <c r="M770" s="31"/>
      <c r="N770" s="33"/>
      <c r="O770" s="31"/>
    </row>
    <row r="771" spans="1:15" ht="15.75" customHeight="1">
      <c r="A771" s="31"/>
      <c r="B771" s="31"/>
      <c r="C771" s="32"/>
      <c r="D771" s="31"/>
      <c r="E771" s="31"/>
      <c r="F771" s="31"/>
      <c r="G771" s="31"/>
      <c r="H771" s="31"/>
      <c r="I771" s="31"/>
      <c r="J771" s="31"/>
      <c r="K771" s="31"/>
      <c r="L771" s="31"/>
      <c r="M771" s="31"/>
      <c r="N771" s="33"/>
      <c r="O771" s="31"/>
    </row>
    <row r="772" spans="1:15" ht="15.75" customHeight="1">
      <c r="A772" s="31"/>
      <c r="B772" s="31"/>
      <c r="C772" s="32"/>
      <c r="D772" s="31"/>
      <c r="E772" s="31"/>
      <c r="F772" s="31"/>
      <c r="G772" s="31"/>
      <c r="H772" s="31"/>
      <c r="I772" s="31"/>
      <c r="J772" s="31"/>
      <c r="K772" s="31"/>
      <c r="L772" s="31"/>
      <c r="M772" s="31"/>
      <c r="N772" s="33"/>
      <c r="O772" s="31"/>
    </row>
    <row r="773" spans="1:15" ht="15.75" customHeight="1">
      <c r="A773" s="31"/>
      <c r="B773" s="31"/>
      <c r="C773" s="32"/>
      <c r="D773" s="31"/>
      <c r="E773" s="31"/>
      <c r="F773" s="31"/>
      <c r="G773" s="31"/>
      <c r="H773" s="31"/>
      <c r="I773" s="31"/>
      <c r="J773" s="31"/>
      <c r="K773" s="31"/>
      <c r="L773" s="31"/>
      <c r="M773" s="31"/>
      <c r="N773" s="33"/>
      <c r="O773" s="31"/>
    </row>
    <row r="774" spans="1:15" ht="15.75" customHeight="1">
      <c r="A774" s="31"/>
      <c r="B774" s="31"/>
      <c r="C774" s="32"/>
      <c r="D774" s="31"/>
      <c r="E774" s="31"/>
      <c r="F774" s="31"/>
      <c r="G774" s="31"/>
      <c r="H774" s="31"/>
      <c r="I774" s="31"/>
      <c r="J774" s="31"/>
      <c r="K774" s="31"/>
      <c r="L774" s="31"/>
      <c r="M774" s="31"/>
      <c r="N774" s="33"/>
      <c r="O774" s="31"/>
    </row>
    <row r="775" spans="1:15" ht="15.75" customHeight="1">
      <c r="A775" s="31"/>
      <c r="B775" s="31"/>
      <c r="C775" s="32"/>
      <c r="D775" s="31"/>
      <c r="E775" s="31"/>
      <c r="F775" s="31"/>
      <c r="G775" s="31"/>
      <c r="H775" s="31"/>
      <c r="I775" s="31"/>
      <c r="J775" s="31"/>
      <c r="K775" s="31"/>
      <c r="L775" s="31"/>
      <c r="M775" s="31"/>
      <c r="N775" s="33"/>
      <c r="O775" s="31"/>
    </row>
    <row r="776" spans="1:15" ht="15.75" customHeight="1">
      <c r="A776" s="31"/>
      <c r="B776" s="31"/>
      <c r="C776" s="32"/>
      <c r="D776" s="31"/>
      <c r="E776" s="31"/>
      <c r="F776" s="31"/>
      <c r="G776" s="31"/>
      <c r="H776" s="31"/>
      <c r="I776" s="31"/>
      <c r="J776" s="31"/>
      <c r="K776" s="31"/>
      <c r="L776" s="31"/>
      <c r="M776" s="31"/>
      <c r="N776" s="33"/>
      <c r="O776" s="31"/>
    </row>
    <row r="777" spans="1:15" ht="15.75" customHeight="1">
      <c r="A777" s="31"/>
      <c r="B777" s="31"/>
      <c r="C777" s="32"/>
      <c r="D777" s="31"/>
      <c r="E777" s="31"/>
      <c r="F777" s="31"/>
      <c r="G777" s="31"/>
      <c r="H777" s="31"/>
      <c r="I777" s="31"/>
      <c r="J777" s="31"/>
      <c r="K777" s="31"/>
      <c r="L777" s="31"/>
      <c r="M777" s="31"/>
      <c r="N777" s="33"/>
      <c r="O777" s="31"/>
    </row>
    <row r="778" spans="1:15" ht="15.75" customHeight="1">
      <c r="A778" s="31"/>
      <c r="B778" s="31"/>
      <c r="C778" s="32"/>
      <c r="D778" s="31"/>
      <c r="E778" s="31"/>
      <c r="F778" s="31"/>
      <c r="G778" s="31"/>
      <c r="H778" s="31"/>
      <c r="I778" s="31"/>
      <c r="J778" s="31"/>
      <c r="K778" s="31"/>
      <c r="L778" s="31"/>
      <c r="M778" s="31"/>
      <c r="N778" s="33"/>
      <c r="O778" s="31"/>
    </row>
    <row r="779" spans="1:15" ht="15.75" customHeight="1">
      <c r="A779" s="31"/>
      <c r="B779" s="31"/>
      <c r="C779" s="32"/>
      <c r="D779" s="31"/>
      <c r="E779" s="31"/>
      <c r="F779" s="31"/>
      <c r="G779" s="31"/>
      <c r="H779" s="31"/>
      <c r="I779" s="31"/>
      <c r="J779" s="31"/>
      <c r="K779" s="31"/>
      <c r="L779" s="31"/>
      <c r="M779" s="31"/>
      <c r="N779" s="33"/>
      <c r="O779" s="31"/>
    </row>
    <row r="780" spans="1:15" ht="15.75" customHeight="1">
      <c r="A780" s="31"/>
      <c r="B780" s="31"/>
      <c r="C780" s="32"/>
      <c r="D780" s="31"/>
      <c r="E780" s="31"/>
      <c r="F780" s="31"/>
      <c r="G780" s="31"/>
      <c r="H780" s="31"/>
      <c r="I780" s="31"/>
      <c r="J780" s="31"/>
      <c r="K780" s="31"/>
      <c r="L780" s="31"/>
      <c r="M780" s="31"/>
      <c r="N780" s="33"/>
      <c r="O780" s="31"/>
    </row>
    <row r="781" spans="1:15" ht="15.75" customHeight="1">
      <c r="A781" s="31"/>
      <c r="B781" s="31"/>
      <c r="C781" s="32"/>
      <c r="D781" s="31"/>
      <c r="E781" s="31"/>
      <c r="F781" s="31"/>
      <c r="G781" s="31"/>
      <c r="H781" s="31"/>
      <c r="I781" s="31"/>
      <c r="J781" s="31"/>
      <c r="K781" s="31"/>
      <c r="L781" s="31"/>
      <c r="M781" s="31"/>
      <c r="N781" s="33"/>
      <c r="O781" s="31"/>
    </row>
    <row r="782" spans="1:15" ht="15.75" customHeight="1">
      <c r="A782" s="31"/>
      <c r="B782" s="31"/>
      <c r="C782" s="32"/>
      <c r="D782" s="31"/>
      <c r="E782" s="31"/>
      <c r="F782" s="31"/>
      <c r="G782" s="31"/>
      <c r="H782" s="31"/>
      <c r="I782" s="31"/>
      <c r="J782" s="31"/>
      <c r="K782" s="31"/>
      <c r="L782" s="31"/>
      <c r="M782" s="31"/>
      <c r="N782" s="33"/>
      <c r="O782" s="31"/>
    </row>
    <row r="783" spans="1:15" ht="15.75" customHeight="1">
      <c r="A783" s="31"/>
      <c r="B783" s="31"/>
      <c r="C783" s="32"/>
      <c r="D783" s="31"/>
      <c r="E783" s="31"/>
      <c r="F783" s="31"/>
      <c r="G783" s="31"/>
      <c r="H783" s="31"/>
      <c r="I783" s="31"/>
      <c r="J783" s="31"/>
      <c r="K783" s="31"/>
      <c r="L783" s="31"/>
      <c r="M783" s="31"/>
      <c r="N783" s="33"/>
      <c r="O783" s="31"/>
    </row>
    <row r="784" spans="1:15" ht="15.75" customHeight="1">
      <c r="A784" s="31"/>
      <c r="B784" s="31"/>
      <c r="C784" s="32"/>
      <c r="D784" s="31"/>
      <c r="E784" s="31"/>
      <c r="F784" s="31"/>
      <c r="G784" s="31"/>
      <c r="H784" s="31"/>
      <c r="I784" s="31"/>
      <c r="J784" s="31"/>
      <c r="K784" s="31"/>
      <c r="L784" s="31"/>
      <c r="M784" s="31"/>
      <c r="N784" s="33"/>
      <c r="O784" s="31"/>
    </row>
    <row r="785" spans="1:15" ht="15.75" customHeight="1">
      <c r="A785" s="31"/>
      <c r="B785" s="31"/>
      <c r="C785" s="32"/>
      <c r="D785" s="31"/>
      <c r="E785" s="31"/>
      <c r="F785" s="31"/>
      <c r="G785" s="31"/>
      <c r="H785" s="31"/>
      <c r="I785" s="31"/>
      <c r="J785" s="31"/>
      <c r="K785" s="31"/>
      <c r="L785" s="31"/>
      <c r="M785" s="31"/>
      <c r="N785" s="33"/>
      <c r="O785" s="31"/>
    </row>
    <row r="786" spans="1:15" ht="15.75" customHeight="1">
      <c r="A786" s="31"/>
      <c r="B786" s="31"/>
      <c r="C786" s="32"/>
      <c r="D786" s="31"/>
      <c r="E786" s="31"/>
      <c r="F786" s="31"/>
      <c r="G786" s="31"/>
      <c r="H786" s="31"/>
      <c r="I786" s="31"/>
      <c r="J786" s="31"/>
      <c r="K786" s="31"/>
      <c r="L786" s="31"/>
      <c r="M786" s="31"/>
      <c r="N786" s="33"/>
      <c r="O786" s="31"/>
    </row>
    <row r="787" spans="1:15" ht="15.75" customHeight="1">
      <c r="A787" s="31"/>
      <c r="B787" s="31"/>
      <c r="C787" s="32"/>
      <c r="D787" s="31"/>
      <c r="E787" s="31"/>
      <c r="F787" s="31"/>
      <c r="G787" s="31"/>
      <c r="H787" s="31"/>
      <c r="I787" s="31"/>
      <c r="J787" s="31"/>
      <c r="K787" s="31"/>
      <c r="L787" s="31"/>
      <c r="M787" s="31"/>
      <c r="N787" s="33"/>
      <c r="O787" s="31"/>
    </row>
    <row r="788" spans="1:15" ht="15.75" customHeight="1">
      <c r="A788" s="31"/>
      <c r="B788" s="31"/>
      <c r="C788" s="32"/>
      <c r="D788" s="31"/>
      <c r="E788" s="31"/>
      <c r="F788" s="31"/>
      <c r="G788" s="31"/>
      <c r="H788" s="31"/>
      <c r="I788" s="31"/>
      <c r="J788" s="31"/>
      <c r="K788" s="31"/>
      <c r="L788" s="31"/>
      <c r="M788" s="31"/>
      <c r="N788" s="33"/>
      <c r="O788" s="31"/>
    </row>
    <row r="789" spans="1:15" ht="15.75" customHeight="1">
      <c r="A789" s="31"/>
      <c r="B789" s="31"/>
      <c r="C789" s="32"/>
      <c r="D789" s="31"/>
      <c r="E789" s="31"/>
      <c r="F789" s="31"/>
      <c r="G789" s="31"/>
      <c r="H789" s="31"/>
      <c r="I789" s="31"/>
      <c r="J789" s="31"/>
      <c r="K789" s="31"/>
      <c r="L789" s="31"/>
      <c r="M789" s="31"/>
      <c r="N789" s="33"/>
      <c r="O789" s="31"/>
    </row>
    <row r="790" spans="1:15" ht="15.75" customHeight="1">
      <c r="A790" s="31"/>
      <c r="B790" s="31"/>
      <c r="C790" s="32"/>
      <c r="D790" s="31"/>
      <c r="E790" s="31"/>
      <c r="F790" s="31"/>
      <c r="G790" s="31"/>
      <c r="H790" s="31"/>
      <c r="I790" s="31"/>
      <c r="J790" s="31"/>
      <c r="K790" s="31"/>
      <c r="L790" s="31"/>
      <c r="M790" s="31"/>
      <c r="N790" s="33"/>
      <c r="O790" s="31"/>
    </row>
    <row r="791" spans="1:15" ht="15.75" customHeight="1">
      <c r="A791" s="31"/>
      <c r="B791" s="31"/>
      <c r="C791" s="32"/>
      <c r="D791" s="31"/>
      <c r="E791" s="31"/>
      <c r="F791" s="31"/>
      <c r="G791" s="31"/>
      <c r="H791" s="31"/>
      <c r="I791" s="31"/>
      <c r="J791" s="31"/>
      <c r="K791" s="31"/>
      <c r="L791" s="31"/>
      <c r="M791" s="31"/>
      <c r="N791" s="33"/>
      <c r="O791" s="31"/>
    </row>
    <row r="792" spans="1:15" ht="15.75" customHeight="1">
      <c r="A792" s="31"/>
      <c r="B792" s="31"/>
      <c r="C792" s="32"/>
      <c r="D792" s="31"/>
      <c r="E792" s="31"/>
      <c r="F792" s="31"/>
      <c r="G792" s="31"/>
      <c r="H792" s="31"/>
      <c r="I792" s="31"/>
      <c r="J792" s="31"/>
      <c r="K792" s="31"/>
      <c r="L792" s="31"/>
      <c r="M792" s="31"/>
      <c r="N792" s="33"/>
      <c r="O792" s="31"/>
    </row>
    <row r="793" spans="1:15" ht="15.75" customHeight="1">
      <c r="A793" s="31"/>
      <c r="B793" s="31"/>
      <c r="C793" s="32"/>
      <c r="D793" s="31"/>
      <c r="E793" s="31"/>
      <c r="F793" s="31"/>
      <c r="G793" s="31"/>
      <c r="H793" s="31"/>
      <c r="I793" s="31"/>
      <c r="J793" s="31"/>
      <c r="K793" s="31"/>
      <c r="L793" s="31"/>
      <c r="M793" s="31"/>
      <c r="N793" s="33"/>
      <c r="O793" s="31"/>
    </row>
    <row r="794" spans="1:15" ht="15.75" customHeight="1">
      <c r="A794" s="31"/>
      <c r="B794" s="31"/>
      <c r="C794" s="32"/>
      <c r="D794" s="31"/>
      <c r="E794" s="31"/>
      <c r="F794" s="31"/>
      <c r="G794" s="31"/>
      <c r="H794" s="31"/>
      <c r="I794" s="31"/>
      <c r="J794" s="31"/>
      <c r="K794" s="31"/>
      <c r="L794" s="31"/>
      <c r="M794" s="31"/>
      <c r="N794" s="33"/>
      <c r="O794" s="31"/>
    </row>
    <row r="795" spans="1:15" ht="15.75" customHeight="1">
      <c r="A795" s="31"/>
      <c r="B795" s="31"/>
      <c r="C795" s="32"/>
      <c r="D795" s="31"/>
      <c r="E795" s="31"/>
      <c r="F795" s="31"/>
      <c r="G795" s="31"/>
      <c r="H795" s="31"/>
      <c r="I795" s="31"/>
      <c r="J795" s="31"/>
      <c r="K795" s="31"/>
      <c r="L795" s="31"/>
      <c r="M795" s="31"/>
      <c r="N795" s="33"/>
      <c r="O795" s="31"/>
    </row>
    <row r="796" spans="1:15" ht="15.75" customHeight="1">
      <c r="A796" s="31"/>
      <c r="B796" s="31"/>
      <c r="C796" s="32"/>
      <c r="D796" s="31"/>
      <c r="E796" s="31"/>
      <c r="F796" s="31"/>
      <c r="G796" s="31"/>
      <c r="H796" s="31"/>
      <c r="I796" s="31"/>
      <c r="J796" s="31"/>
      <c r="K796" s="31"/>
      <c r="L796" s="31"/>
      <c r="M796" s="31"/>
      <c r="N796" s="33"/>
      <c r="O796" s="31"/>
    </row>
    <row r="797" spans="1:15" ht="15.75" customHeight="1">
      <c r="A797" s="31"/>
      <c r="B797" s="31"/>
      <c r="C797" s="32"/>
      <c r="D797" s="31"/>
      <c r="E797" s="31"/>
      <c r="F797" s="31"/>
      <c r="G797" s="31"/>
      <c r="H797" s="31"/>
      <c r="I797" s="31"/>
      <c r="J797" s="31"/>
      <c r="K797" s="31"/>
      <c r="L797" s="31"/>
      <c r="M797" s="31"/>
      <c r="N797" s="33"/>
      <c r="O797" s="31"/>
    </row>
    <row r="798" spans="1:15" ht="15.75" customHeight="1">
      <c r="A798" s="31"/>
      <c r="B798" s="31"/>
      <c r="C798" s="32"/>
      <c r="D798" s="31"/>
      <c r="E798" s="31"/>
      <c r="F798" s="31"/>
      <c r="G798" s="31"/>
      <c r="H798" s="31"/>
      <c r="I798" s="31"/>
      <c r="J798" s="31"/>
      <c r="K798" s="31"/>
      <c r="L798" s="31"/>
      <c r="M798" s="31"/>
      <c r="N798" s="33"/>
      <c r="O798" s="31"/>
    </row>
    <row r="799" spans="1:15" ht="15.75" customHeight="1">
      <c r="A799" s="31"/>
      <c r="B799" s="31"/>
      <c r="C799" s="32"/>
      <c r="D799" s="31"/>
      <c r="E799" s="31"/>
      <c r="F799" s="31"/>
      <c r="G799" s="31"/>
      <c r="H799" s="31"/>
      <c r="I799" s="31"/>
      <c r="J799" s="31"/>
      <c r="K799" s="31"/>
      <c r="L799" s="31"/>
      <c r="M799" s="31"/>
      <c r="N799" s="33"/>
      <c r="O799" s="31"/>
    </row>
    <row r="800" spans="1:15" ht="15.75" customHeight="1">
      <c r="A800" s="31"/>
      <c r="B800" s="31"/>
      <c r="C800" s="32"/>
      <c r="D800" s="31"/>
      <c r="E800" s="31"/>
      <c r="F800" s="31"/>
      <c r="G800" s="31"/>
      <c r="H800" s="31"/>
      <c r="I800" s="31"/>
      <c r="J800" s="31"/>
      <c r="K800" s="31"/>
      <c r="L800" s="31"/>
      <c r="M800" s="31"/>
      <c r="N800" s="33"/>
      <c r="O800" s="31"/>
    </row>
    <row r="801" spans="1:15" ht="15.75" customHeight="1">
      <c r="A801" s="31"/>
      <c r="B801" s="31"/>
      <c r="C801" s="32"/>
      <c r="D801" s="31"/>
      <c r="E801" s="31"/>
      <c r="F801" s="31"/>
      <c r="G801" s="31"/>
      <c r="H801" s="31"/>
      <c r="I801" s="31"/>
      <c r="J801" s="31"/>
      <c r="K801" s="31"/>
      <c r="L801" s="31"/>
      <c r="M801" s="31"/>
      <c r="N801" s="33"/>
      <c r="O801" s="31"/>
    </row>
    <row r="802" spans="1:15" ht="15.75" customHeight="1">
      <c r="A802" s="31"/>
      <c r="B802" s="31"/>
      <c r="C802" s="32"/>
      <c r="D802" s="31"/>
      <c r="E802" s="31"/>
      <c r="F802" s="31"/>
      <c r="G802" s="31"/>
      <c r="H802" s="31"/>
      <c r="I802" s="31"/>
      <c r="J802" s="31"/>
      <c r="K802" s="31"/>
      <c r="L802" s="31"/>
      <c r="M802" s="31"/>
      <c r="N802" s="33"/>
      <c r="O802" s="31"/>
    </row>
    <row r="803" spans="1:15" ht="15.75" customHeight="1">
      <c r="A803" s="31"/>
      <c r="B803" s="31"/>
      <c r="C803" s="32"/>
      <c r="D803" s="31"/>
      <c r="E803" s="31"/>
      <c r="F803" s="31"/>
      <c r="G803" s="31"/>
      <c r="H803" s="31"/>
      <c r="I803" s="31"/>
      <c r="J803" s="31"/>
      <c r="K803" s="31"/>
      <c r="L803" s="31"/>
      <c r="M803" s="31"/>
      <c r="N803" s="33"/>
      <c r="O803" s="31"/>
    </row>
    <row r="804" spans="1:15" ht="15.75" customHeight="1">
      <c r="A804" s="31"/>
      <c r="B804" s="31"/>
      <c r="C804" s="32"/>
      <c r="D804" s="31"/>
      <c r="E804" s="31"/>
      <c r="F804" s="31"/>
      <c r="G804" s="31"/>
      <c r="H804" s="31"/>
      <c r="I804" s="31"/>
      <c r="J804" s="31"/>
      <c r="K804" s="31"/>
      <c r="L804" s="31"/>
      <c r="M804" s="31"/>
      <c r="N804" s="33"/>
      <c r="O804" s="31"/>
    </row>
    <row r="805" spans="1:15" ht="15.75" customHeight="1">
      <c r="A805" s="31"/>
      <c r="B805" s="31"/>
      <c r="C805" s="32"/>
      <c r="D805" s="31"/>
      <c r="E805" s="31"/>
      <c r="F805" s="31"/>
      <c r="G805" s="31"/>
      <c r="H805" s="31"/>
      <c r="I805" s="31"/>
      <c r="J805" s="31"/>
      <c r="K805" s="31"/>
      <c r="L805" s="31"/>
      <c r="M805" s="31"/>
      <c r="N805" s="33"/>
      <c r="O805" s="31"/>
    </row>
    <row r="806" spans="1:15" ht="15.75" customHeight="1">
      <c r="A806" s="31"/>
      <c r="B806" s="31"/>
      <c r="C806" s="32"/>
      <c r="D806" s="31"/>
      <c r="E806" s="31"/>
      <c r="F806" s="31"/>
      <c r="G806" s="31"/>
      <c r="H806" s="31"/>
      <c r="I806" s="31"/>
      <c r="J806" s="31"/>
      <c r="K806" s="31"/>
      <c r="L806" s="31"/>
      <c r="M806" s="31"/>
      <c r="N806" s="33"/>
      <c r="O806" s="31"/>
    </row>
    <row r="807" spans="1:15" ht="15.75" customHeight="1">
      <c r="A807" s="31"/>
      <c r="B807" s="31"/>
      <c r="C807" s="32"/>
      <c r="D807" s="31"/>
      <c r="E807" s="31"/>
      <c r="F807" s="31"/>
      <c r="G807" s="31"/>
      <c r="H807" s="31"/>
      <c r="I807" s="31"/>
      <c r="J807" s="31"/>
      <c r="K807" s="31"/>
      <c r="L807" s="31"/>
      <c r="M807" s="31"/>
      <c r="N807" s="33"/>
      <c r="O807" s="31"/>
    </row>
    <row r="808" spans="1:15" ht="15.75" customHeight="1">
      <c r="A808" s="31"/>
      <c r="B808" s="31"/>
      <c r="C808" s="32"/>
      <c r="D808" s="31"/>
      <c r="E808" s="31"/>
      <c r="F808" s="31"/>
      <c r="G808" s="31"/>
      <c r="H808" s="31"/>
      <c r="I808" s="31"/>
      <c r="J808" s="31"/>
      <c r="K808" s="31"/>
      <c r="L808" s="31"/>
      <c r="M808" s="31"/>
      <c r="N808" s="33"/>
      <c r="O808" s="31"/>
    </row>
    <row r="809" spans="1:15" ht="15.75" customHeight="1">
      <c r="A809" s="31"/>
      <c r="B809" s="31"/>
      <c r="C809" s="32"/>
      <c r="D809" s="31"/>
      <c r="E809" s="31"/>
      <c r="F809" s="31"/>
      <c r="G809" s="31"/>
      <c r="H809" s="31"/>
      <c r="I809" s="31"/>
      <c r="J809" s="31"/>
      <c r="K809" s="31"/>
      <c r="L809" s="31"/>
      <c r="M809" s="31"/>
      <c r="N809" s="33"/>
      <c r="O809" s="31"/>
    </row>
    <row r="810" spans="1:15" ht="15.75" customHeight="1">
      <c r="A810" s="31"/>
      <c r="B810" s="31"/>
      <c r="C810" s="32"/>
      <c r="D810" s="31"/>
      <c r="E810" s="31"/>
      <c r="F810" s="31"/>
      <c r="G810" s="31"/>
      <c r="H810" s="31"/>
      <c r="I810" s="31"/>
      <c r="J810" s="31"/>
      <c r="K810" s="31"/>
      <c r="L810" s="31"/>
      <c r="M810" s="31"/>
      <c r="N810" s="33"/>
      <c r="O810" s="31"/>
    </row>
    <row r="811" spans="1:15" ht="15.75" customHeight="1">
      <c r="A811" s="31"/>
      <c r="B811" s="31"/>
      <c r="C811" s="32"/>
      <c r="D811" s="31"/>
      <c r="E811" s="31"/>
      <c r="F811" s="31"/>
      <c r="G811" s="31"/>
      <c r="H811" s="31"/>
      <c r="I811" s="31"/>
      <c r="J811" s="31"/>
      <c r="K811" s="31"/>
      <c r="L811" s="31"/>
      <c r="M811" s="31"/>
      <c r="N811" s="33"/>
      <c r="O811" s="31"/>
    </row>
    <row r="812" spans="1:15" ht="15.75" customHeight="1">
      <c r="A812" s="31"/>
      <c r="B812" s="31"/>
      <c r="C812" s="32"/>
      <c r="D812" s="31"/>
      <c r="E812" s="31"/>
      <c r="F812" s="31"/>
      <c r="G812" s="31"/>
      <c r="H812" s="31"/>
      <c r="I812" s="31"/>
      <c r="J812" s="31"/>
      <c r="K812" s="31"/>
      <c r="L812" s="31"/>
      <c r="M812" s="31"/>
      <c r="N812" s="33"/>
      <c r="O812" s="31"/>
    </row>
    <row r="813" spans="1:15" ht="15.75" customHeight="1">
      <c r="A813" s="31"/>
      <c r="B813" s="31"/>
      <c r="C813" s="32"/>
      <c r="D813" s="31"/>
      <c r="E813" s="31"/>
      <c r="F813" s="31"/>
      <c r="G813" s="31"/>
      <c r="H813" s="31"/>
      <c r="I813" s="31"/>
      <c r="J813" s="31"/>
      <c r="K813" s="31"/>
      <c r="L813" s="31"/>
      <c r="M813" s="31"/>
      <c r="N813" s="33"/>
      <c r="O813" s="31"/>
    </row>
    <row r="814" spans="1:15" ht="15.75" customHeight="1">
      <c r="A814" s="31"/>
      <c r="B814" s="31"/>
      <c r="C814" s="32"/>
      <c r="D814" s="31"/>
      <c r="E814" s="31"/>
      <c r="F814" s="31"/>
      <c r="G814" s="31"/>
      <c r="H814" s="31"/>
      <c r="I814" s="31"/>
      <c r="J814" s="31"/>
      <c r="K814" s="31"/>
      <c r="L814" s="31"/>
      <c r="M814" s="31"/>
      <c r="N814" s="33"/>
      <c r="O814" s="31"/>
    </row>
    <row r="815" spans="1:15" ht="15.75" customHeight="1">
      <c r="A815" s="31"/>
      <c r="B815" s="31"/>
      <c r="C815" s="32"/>
      <c r="D815" s="31"/>
      <c r="E815" s="31"/>
      <c r="F815" s="31"/>
      <c r="G815" s="31"/>
      <c r="H815" s="31"/>
      <c r="I815" s="31"/>
      <c r="J815" s="31"/>
      <c r="K815" s="31"/>
      <c r="L815" s="31"/>
      <c r="M815" s="31"/>
      <c r="N815" s="33"/>
      <c r="O815" s="31"/>
    </row>
    <row r="816" spans="1:15" ht="15.75" customHeight="1">
      <c r="A816" s="31"/>
      <c r="B816" s="31"/>
      <c r="C816" s="32"/>
      <c r="D816" s="31"/>
      <c r="E816" s="31"/>
      <c r="F816" s="31"/>
      <c r="G816" s="31"/>
      <c r="H816" s="31"/>
      <c r="I816" s="31"/>
      <c r="J816" s="31"/>
      <c r="K816" s="31"/>
      <c r="L816" s="31"/>
      <c r="M816" s="31"/>
      <c r="N816" s="33"/>
      <c r="O816" s="31"/>
    </row>
    <row r="817" spans="1:15" ht="15.75" customHeight="1">
      <c r="A817" s="31"/>
      <c r="B817" s="31"/>
      <c r="C817" s="32"/>
      <c r="D817" s="31"/>
      <c r="E817" s="31"/>
      <c r="F817" s="31"/>
      <c r="G817" s="31"/>
      <c r="H817" s="31"/>
      <c r="I817" s="31"/>
      <c r="J817" s="31"/>
      <c r="K817" s="31"/>
      <c r="L817" s="31"/>
      <c r="M817" s="31"/>
      <c r="N817" s="33"/>
      <c r="O817" s="31"/>
    </row>
    <row r="818" spans="1:15" ht="15.75" customHeight="1">
      <c r="A818" s="31"/>
      <c r="B818" s="31"/>
      <c r="C818" s="32"/>
      <c r="D818" s="31"/>
      <c r="E818" s="31"/>
      <c r="F818" s="31"/>
      <c r="G818" s="31"/>
      <c r="H818" s="31"/>
      <c r="I818" s="31"/>
      <c r="J818" s="31"/>
      <c r="K818" s="31"/>
      <c r="L818" s="31"/>
      <c r="M818" s="31"/>
      <c r="N818" s="33"/>
      <c r="O818" s="31"/>
    </row>
    <row r="819" spans="1:15" ht="15.75" customHeight="1">
      <c r="A819" s="31"/>
      <c r="B819" s="31"/>
      <c r="C819" s="32"/>
      <c r="D819" s="31"/>
      <c r="E819" s="31"/>
      <c r="F819" s="31"/>
      <c r="G819" s="31"/>
      <c r="H819" s="31"/>
      <c r="I819" s="31"/>
      <c r="J819" s="31"/>
      <c r="K819" s="31"/>
      <c r="L819" s="31"/>
      <c r="M819" s="31"/>
      <c r="N819" s="33"/>
      <c r="O819" s="31"/>
    </row>
    <row r="820" spans="1:15" ht="15.75" customHeight="1">
      <c r="A820" s="31"/>
      <c r="B820" s="31"/>
      <c r="C820" s="32"/>
      <c r="D820" s="31"/>
      <c r="E820" s="31"/>
      <c r="F820" s="31"/>
      <c r="G820" s="31"/>
      <c r="H820" s="31"/>
      <c r="I820" s="31"/>
      <c r="J820" s="31"/>
      <c r="K820" s="31"/>
      <c r="L820" s="31"/>
      <c r="M820" s="31"/>
      <c r="N820" s="33"/>
      <c r="O820" s="31"/>
    </row>
    <row r="821" spans="1:15" ht="15.75" customHeight="1">
      <c r="A821" s="31"/>
      <c r="B821" s="31"/>
      <c r="C821" s="32"/>
      <c r="D821" s="31"/>
      <c r="E821" s="31"/>
      <c r="F821" s="31"/>
      <c r="G821" s="31"/>
      <c r="H821" s="31"/>
      <c r="I821" s="31"/>
      <c r="J821" s="31"/>
      <c r="K821" s="31"/>
      <c r="L821" s="31"/>
      <c r="M821" s="31"/>
      <c r="N821" s="33"/>
      <c r="O821" s="31"/>
    </row>
    <row r="822" spans="1:15" ht="15.75" customHeight="1">
      <c r="A822" s="31"/>
      <c r="B822" s="31"/>
      <c r="C822" s="32"/>
      <c r="D822" s="31"/>
      <c r="E822" s="31"/>
      <c r="F822" s="31"/>
      <c r="G822" s="31"/>
      <c r="H822" s="31"/>
      <c r="I822" s="31"/>
      <c r="J822" s="31"/>
      <c r="K822" s="31"/>
      <c r="L822" s="31"/>
      <c r="M822" s="31"/>
      <c r="N822" s="33"/>
      <c r="O822" s="31"/>
    </row>
    <row r="823" spans="1:15" ht="15.75" customHeight="1">
      <c r="A823" s="31"/>
      <c r="B823" s="31"/>
      <c r="C823" s="32"/>
      <c r="D823" s="31"/>
      <c r="E823" s="31"/>
      <c r="F823" s="31"/>
      <c r="G823" s="31"/>
      <c r="H823" s="31"/>
      <c r="I823" s="31"/>
      <c r="J823" s="31"/>
      <c r="K823" s="31"/>
      <c r="L823" s="31"/>
      <c r="M823" s="31"/>
      <c r="N823" s="33"/>
      <c r="O823" s="31"/>
    </row>
    <row r="824" spans="1:15" ht="15.75" customHeight="1">
      <c r="A824" s="31"/>
      <c r="B824" s="31"/>
      <c r="C824" s="32"/>
      <c r="D824" s="31"/>
      <c r="E824" s="31"/>
      <c r="F824" s="31"/>
      <c r="G824" s="31"/>
      <c r="H824" s="31"/>
      <c r="I824" s="31"/>
      <c r="J824" s="31"/>
      <c r="K824" s="31"/>
      <c r="L824" s="31"/>
      <c r="M824" s="31"/>
      <c r="N824" s="33"/>
      <c r="O824" s="31"/>
    </row>
    <row r="825" spans="1:15" ht="15.75" customHeight="1">
      <c r="A825" s="31"/>
      <c r="B825" s="31"/>
      <c r="C825" s="32"/>
      <c r="D825" s="31"/>
      <c r="E825" s="31"/>
      <c r="F825" s="31"/>
      <c r="G825" s="31"/>
      <c r="H825" s="31"/>
      <c r="I825" s="31"/>
      <c r="J825" s="31"/>
      <c r="K825" s="31"/>
      <c r="L825" s="31"/>
      <c r="M825" s="31"/>
      <c r="N825" s="33"/>
      <c r="O825" s="31"/>
    </row>
    <row r="826" spans="1:15" ht="15.75" customHeight="1">
      <c r="A826" s="31"/>
      <c r="B826" s="31"/>
      <c r="C826" s="32"/>
      <c r="D826" s="31"/>
      <c r="E826" s="31"/>
      <c r="F826" s="31"/>
      <c r="G826" s="31"/>
      <c r="H826" s="31"/>
      <c r="I826" s="31"/>
      <c r="J826" s="31"/>
      <c r="K826" s="31"/>
      <c r="L826" s="31"/>
      <c r="M826" s="31"/>
      <c r="N826" s="33"/>
      <c r="O826" s="31"/>
    </row>
    <row r="827" spans="1:15" ht="15.75" customHeight="1">
      <c r="A827" s="31"/>
      <c r="B827" s="31"/>
      <c r="C827" s="32"/>
      <c r="D827" s="31"/>
      <c r="E827" s="31"/>
      <c r="F827" s="31"/>
      <c r="G827" s="31"/>
      <c r="H827" s="31"/>
      <c r="I827" s="31"/>
      <c r="J827" s="31"/>
      <c r="K827" s="31"/>
      <c r="L827" s="31"/>
      <c r="M827" s="31"/>
      <c r="N827" s="33"/>
      <c r="O827" s="31"/>
    </row>
    <row r="828" spans="1:15" ht="15.75" customHeight="1">
      <c r="A828" s="31"/>
      <c r="B828" s="31"/>
      <c r="C828" s="32"/>
      <c r="D828" s="31"/>
      <c r="E828" s="31"/>
      <c r="F828" s="31"/>
      <c r="G828" s="31"/>
      <c r="H828" s="31"/>
      <c r="I828" s="31"/>
      <c r="J828" s="31"/>
      <c r="K828" s="31"/>
      <c r="L828" s="31"/>
      <c r="M828" s="31"/>
      <c r="N828" s="33"/>
      <c r="O828" s="31"/>
    </row>
    <row r="829" spans="1:15" ht="15.75" customHeight="1">
      <c r="A829" s="31"/>
      <c r="B829" s="31"/>
      <c r="C829" s="32"/>
      <c r="D829" s="31"/>
      <c r="E829" s="31"/>
      <c r="F829" s="31"/>
      <c r="G829" s="31"/>
      <c r="H829" s="31"/>
      <c r="I829" s="31"/>
      <c r="J829" s="31"/>
      <c r="K829" s="31"/>
      <c r="L829" s="31"/>
      <c r="M829" s="31"/>
      <c r="N829" s="33"/>
      <c r="O829" s="31"/>
    </row>
    <row r="830" spans="1:15" ht="15.75" customHeight="1">
      <c r="A830" s="31"/>
      <c r="B830" s="31"/>
      <c r="C830" s="32"/>
      <c r="D830" s="31"/>
      <c r="E830" s="31"/>
      <c r="F830" s="31"/>
      <c r="G830" s="31"/>
      <c r="H830" s="31"/>
      <c r="I830" s="31"/>
      <c r="J830" s="31"/>
      <c r="K830" s="31"/>
      <c r="L830" s="31"/>
      <c r="M830" s="31"/>
      <c r="N830" s="33"/>
      <c r="O830" s="31"/>
    </row>
    <row r="831" spans="1:15" ht="15.75" customHeight="1">
      <c r="A831" s="31"/>
      <c r="B831" s="31"/>
      <c r="C831" s="32"/>
      <c r="D831" s="31"/>
      <c r="E831" s="31"/>
      <c r="F831" s="31"/>
      <c r="G831" s="31"/>
      <c r="H831" s="31"/>
      <c r="I831" s="31"/>
      <c r="J831" s="31"/>
      <c r="K831" s="31"/>
      <c r="L831" s="31"/>
      <c r="M831" s="31"/>
      <c r="N831" s="33"/>
      <c r="O831" s="31"/>
    </row>
    <row r="832" spans="1:15" ht="15.75" customHeight="1">
      <c r="A832" s="31"/>
      <c r="B832" s="31"/>
      <c r="C832" s="32"/>
      <c r="D832" s="31"/>
      <c r="E832" s="31"/>
      <c r="F832" s="31"/>
      <c r="G832" s="31"/>
      <c r="H832" s="31"/>
      <c r="I832" s="31"/>
      <c r="J832" s="31"/>
      <c r="K832" s="31"/>
      <c r="L832" s="31"/>
      <c r="M832" s="31"/>
      <c r="N832" s="33"/>
      <c r="O832" s="31"/>
    </row>
    <row r="833" spans="1:15" ht="15.75" customHeight="1">
      <c r="A833" s="31"/>
      <c r="B833" s="31"/>
      <c r="C833" s="32"/>
      <c r="D833" s="31"/>
      <c r="E833" s="31"/>
      <c r="F833" s="31"/>
      <c r="G833" s="31"/>
      <c r="H833" s="31"/>
      <c r="I833" s="31"/>
      <c r="J833" s="31"/>
      <c r="K833" s="31"/>
      <c r="L833" s="31"/>
      <c r="M833" s="31"/>
      <c r="N833" s="33"/>
      <c r="O833" s="31"/>
    </row>
    <row r="834" spans="1:15" ht="15.75" customHeight="1">
      <c r="A834" s="31"/>
      <c r="B834" s="31"/>
      <c r="C834" s="32"/>
      <c r="D834" s="31"/>
      <c r="E834" s="31"/>
      <c r="F834" s="31"/>
      <c r="G834" s="31"/>
      <c r="H834" s="31"/>
      <c r="I834" s="31"/>
      <c r="J834" s="31"/>
      <c r="K834" s="31"/>
      <c r="L834" s="31"/>
      <c r="M834" s="31"/>
      <c r="N834" s="33"/>
      <c r="O834" s="31"/>
    </row>
    <row r="835" spans="1:15" ht="15.75" customHeight="1">
      <c r="A835" s="31"/>
      <c r="B835" s="31"/>
      <c r="C835" s="32"/>
      <c r="D835" s="31"/>
      <c r="E835" s="31"/>
      <c r="F835" s="31"/>
      <c r="G835" s="31"/>
      <c r="H835" s="31"/>
      <c r="I835" s="31"/>
      <c r="J835" s="31"/>
      <c r="K835" s="31"/>
      <c r="L835" s="31"/>
      <c r="M835" s="31"/>
      <c r="N835" s="33"/>
      <c r="O835" s="31"/>
    </row>
    <row r="836" spans="1:15" ht="15.75" customHeight="1">
      <c r="A836" s="31"/>
      <c r="B836" s="31"/>
      <c r="C836" s="32"/>
      <c r="D836" s="31"/>
      <c r="E836" s="31"/>
      <c r="F836" s="31"/>
      <c r="G836" s="31"/>
      <c r="H836" s="31"/>
      <c r="I836" s="31"/>
      <c r="J836" s="31"/>
      <c r="K836" s="31"/>
      <c r="L836" s="31"/>
      <c r="M836" s="31"/>
      <c r="N836" s="33"/>
      <c r="O836" s="31"/>
    </row>
    <row r="837" spans="1:15" ht="15.75" customHeight="1">
      <c r="A837" s="31"/>
      <c r="B837" s="31"/>
      <c r="C837" s="32"/>
      <c r="D837" s="31"/>
      <c r="E837" s="31"/>
      <c r="F837" s="31"/>
      <c r="G837" s="31"/>
      <c r="H837" s="31"/>
      <c r="I837" s="31"/>
      <c r="J837" s="31"/>
      <c r="K837" s="31"/>
      <c r="L837" s="31"/>
      <c r="M837" s="31"/>
      <c r="N837" s="33"/>
      <c r="O837" s="31"/>
    </row>
    <row r="838" spans="1:15" ht="15.75" customHeight="1">
      <c r="A838" s="31"/>
      <c r="B838" s="31"/>
      <c r="C838" s="32"/>
      <c r="D838" s="31"/>
      <c r="E838" s="31"/>
      <c r="F838" s="31"/>
      <c r="G838" s="31"/>
      <c r="H838" s="31"/>
      <c r="I838" s="31"/>
      <c r="J838" s="31"/>
      <c r="K838" s="31"/>
      <c r="L838" s="31"/>
      <c r="M838" s="31"/>
      <c r="N838" s="33"/>
      <c r="O838" s="31"/>
    </row>
    <row r="839" spans="1:15" ht="15.75" customHeight="1">
      <c r="A839" s="31"/>
      <c r="B839" s="31"/>
      <c r="C839" s="32"/>
      <c r="D839" s="31"/>
      <c r="E839" s="31"/>
      <c r="F839" s="31"/>
      <c r="G839" s="31"/>
      <c r="H839" s="31"/>
      <c r="I839" s="31"/>
      <c r="J839" s="31"/>
      <c r="K839" s="31"/>
      <c r="L839" s="31"/>
      <c r="M839" s="31"/>
      <c r="N839" s="33"/>
      <c r="O839" s="31"/>
    </row>
    <row r="840" spans="1:15" ht="15.75" customHeight="1">
      <c r="A840" s="31"/>
      <c r="B840" s="31"/>
      <c r="C840" s="32"/>
      <c r="D840" s="31"/>
      <c r="E840" s="31"/>
      <c r="F840" s="31"/>
      <c r="G840" s="31"/>
      <c r="H840" s="31"/>
      <c r="I840" s="31"/>
      <c r="J840" s="31"/>
      <c r="K840" s="31"/>
      <c r="L840" s="31"/>
      <c r="M840" s="31"/>
      <c r="N840" s="33"/>
      <c r="O840" s="31"/>
    </row>
    <row r="841" spans="1:15" ht="15.75" customHeight="1">
      <c r="A841" s="31"/>
      <c r="B841" s="31"/>
      <c r="C841" s="32"/>
      <c r="D841" s="31"/>
      <c r="E841" s="31"/>
      <c r="F841" s="31"/>
      <c r="G841" s="31"/>
      <c r="H841" s="31"/>
      <c r="I841" s="31"/>
      <c r="J841" s="31"/>
      <c r="K841" s="31"/>
      <c r="L841" s="31"/>
      <c r="M841" s="31"/>
      <c r="N841" s="33"/>
      <c r="O841" s="31"/>
    </row>
    <row r="842" spans="1:15" ht="15.75" customHeight="1">
      <c r="A842" s="31"/>
      <c r="B842" s="31"/>
      <c r="C842" s="32"/>
      <c r="D842" s="31"/>
      <c r="E842" s="31"/>
      <c r="F842" s="31"/>
      <c r="G842" s="31"/>
      <c r="H842" s="31"/>
      <c r="I842" s="31"/>
      <c r="J842" s="31"/>
      <c r="K842" s="31"/>
      <c r="L842" s="31"/>
      <c r="M842" s="31"/>
      <c r="N842" s="33"/>
      <c r="O842" s="31"/>
    </row>
    <row r="843" spans="1:15" ht="15.75" customHeight="1">
      <c r="A843" s="31"/>
      <c r="B843" s="31"/>
      <c r="C843" s="32"/>
      <c r="D843" s="31"/>
      <c r="E843" s="31"/>
      <c r="F843" s="31"/>
      <c r="G843" s="31"/>
      <c r="H843" s="31"/>
      <c r="I843" s="31"/>
      <c r="J843" s="31"/>
      <c r="K843" s="31"/>
      <c r="L843" s="31"/>
      <c r="M843" s="31"/>
      <c r="N843" s="33"/>
      <c r="O843" s="31"/>
    </row>
    <row r="844" spans="1:15" ht="15.75" customHeight="1">
      <c r="A844" s="31"/>
      <c r="B844" s="31"/>
      <c r="C844" s="32"/>
      <c r="D844" s="31"/>
      <c r="E844" s="31"/>
      <c r="F844" s="31"/>
      <c r="G844" s="31"/>
      <c r="H844" s="31"/>
      <c r="I844" s="31"/>
      <c r="J844" s="31"/>
      <c r="K844" s="31"/>
      <c r="L844" s="31"/>
      <c r="M844" s="31"/>
      <c r="N844" s="33"/>
      <c r="O844" s="31"/>
    </row>
    <row r="845" spans="1:15" ht="15.75" customHeight="1">
      <c r="A845" s="31"/>
      <c r="B845" s="31"/>
      <c r="C845" s="32"/>
      <c r="D845" s="31"/>
      <c r="E845" s="31"/>
      <c r="F845" s="31"/>
      <c r="G845" s="31"/>
      <c r="H845" s="31"/>
      <c r="I845" s="31"/>
      <c r="J845" s="31"/>
      <c r="K845" s="31"/>
      <c r="L845" s="31"/>
      <c r="M845" s="31"/>
      <c r="N845" s="33"/>
      <c r="O845" s="31"/>
    </row>
    <row r="846" spans="1:15" ht="15.75" customHeight="1">
      <c r="A846" s="31"/>
      <c r="B846" s="31"/>
      <c r="C846" s="32"/>
      <c r="D846" s="31"/>
      <c r="E846" s="31"/>
      <c r="F846" s="31"/>
      <c r="G846" s="31"/>
      <c r="H846" s="31"/>
      <c r="I846" s="31"/>
      <c r="J846" s="31"/>
      <c r="K846" s="31"/>
      <c r="L846" s="31"/>
      <c r="M846" s="31"/>
      <c r="N846" s="33"/>
      <c r="O846" s="31"/>
    </row>
    <row r="847" spans="1:15" ht="15.75" customHeight="1">
      <c r="A847" s="31"/>
      <c r="B847" s="31"/>
      <c r="C847" s="32"/>
      <c r="D847" s="31"/>
      <c r="E847" s="31"/>
      <c r="F847" s="31"/>
      <c r="G847" s="31"/>
      <c r="H847" s="31"/>
      <c r="I847" s="31"/>
      <c r="J847" s="31"/>
      <c r="K847" s="31"/>
      <c r="L847" s="31"/>
      <c r="M847" s="31"/>
      <c r="N847" s="33"/>
      <c r="O847" s="31"/>
    </row>
    <row r="848" spans="1:15" ht="15.75" customHeight="1">
      <c r="A848" s="31"/>
      <c r="B848" s="31"/>
      <c r="C848" s="32"/>
      <c r="D848" s="31"/>
      <c r="E848" s="31"/>
      <c r="F848" s="31"/>
      <c r="G848" s="31"/>
      <c r="H848" s="31"/>
      <c r="I848" s="31"/>
      <c r="J848" s="31"/>
      <c r="K848" s="31"/>
      <c r="L848" s="31"/>
      <c r="M848" s="31"/>
      <c r="N848" s="33"/>
      <c r="O848" s="31"/>
    </row>
    <row r="849" spans="1:15" ht="15.75" customHeight="1">
      <c r="A849" s="31"/>
      <c r="B849" s="31"/>
      <c r="C849" s="32"/>
      <c r="D849" s="31"/>
      <c r="E849" s="31"/>
      <c r="F849" s="31"/>
      <c r="G849" s="31"/>
      <c r="H849" s="31"/>
      <c r="I849" s="31"/>
      <c r="J849" s="31"/>
      <c r="K849" s="31"/>
      <c r="L849" s="31"/>
      <c r="M849" s="31"/>
      <c r="N849" s="33"/>
      <c r="O849" s="31"/>
    </row>
    <row r="850" spans="1:15" ht="15.75" customHeight="1">
      <c r="A850" s="31"/>
      <c r="B850" s="31"/>
      <c r="C850" s="32"/>
      <c r="D850" s="31"/>
      <c r="E850" s="31"/>
      <c r="F850" s="31"/>
      <c r="G850" s="31"/>
      <c r="H850" s="31"/>
      <c r="I850" s="31"/>
      <c r="J850" s="31"/>
      <c r="K850" s="31"/>
      <c r="L850" s="31"/>
      <c r="M850" s="31"/>
      <c r="N850" s="33"/>
      <c r="O850" s="31"/>
    </row>
    <row r="851" spans="1:15" ht="15.75" customHeight="1">
      <c r="A851" s="31"/>
      <c r="B851" s="31"/>
      <c r="C851" s="32"/>
      <c r="D851" s="31"/>
      <c r="E851" s="31"/>
      <c r="F851" s="31"/>
      <c r="G851" s="31"/>
      <c r="H851" s="31"/>
      <c r="I851" s="31"/>
      <c r="J851" s="31"/>
      <c r="K851" s="31"/>
      <c r="L851" s="31"/>
      <c r="M851" s="31"/>
      <c r="N851" s="33"/>
      <c r="O851" s="31"/>
    </row>
    <row r="852" spans="1:15" ht="15.75" customHeight="1">
      <c r="A852" s="31"/>
      <c r="B852" s="31"/>
      <c r="C852" s="32"/>
      <c r="D852" s="31"/>
      <c r="E852" s="31"/>
      <c r="F852" s="31"/>
      <c r="G852" s="31"/>
      <c r="H852" s="31"/>
      <c r="I852" s="31"/>
      <c r="J852" s="31"/>
      <c r="K852" s="31"/>
      <c r="L852" s="31"/>
      <c r="M852" s="31"/>
      <c r="N852" s="33"/>
      <c r="O852" s="31"/>
    </row>
    <row r="853" spans="1:15" ht="15.75" customHeight="1">
      <c r="A853" s="31"/>
      <c r="B853" s="31"/>
      <c r="C853" s="32"/>
      <c r="D853" s="31"/>
      <c r="E853" s="31"/>
      <c r="F853" s="31"/>
      <c r="G853" s="31"/>
      <c r="H853" s="31"/>
      <c r="I853" s="31"/>
      <c r="J853" s="31"/>
      <c r="K853" s="31"/>
      <c r="L853" s="31"/>
      <c r="M853" s="31"/>
      <c r="N853" s="33"/>
      <c r="O853" s="31"/>
    </row>
    <row r="854" spans="1:15" ht="15.75" customHeight="1">
      <c r="A854" s="31"/>
      <c r="B854" s="31"/>
      <c r="C854" s="32"/>
      <c r="D854" s="31"/>
      <c r="E854" s="31"/>
      <c r="F854" s="31"/>
      <c r="G854" s="31"/>
      <c r="H854" s="31"/>
      <c r="I854" s="31"/>
      <c r="J854" s="31"/>
      <c r="K854" s="31"/>
      <c r="L854" s="31"/>
      <c r="M854" s="31"/>
      <c r="N854" s="33"/>
      <c r="O854" s="31"/>
    </row>
    <row r="855" spans="1:15" ht="15.75" customHeight="1">
      <c r="A855" s="31"/>
      <c r="B855" s="31"/>
      <c r="C855" s="32"/>
      <c r="D855" s="31"/>
      <c r="E855" s="31"/>
      <c r="F855" s="31"/>
      <c r="G855" s="31"/>
      <c r="H855" s="31"/>
      <c r="I855" s="31"/>
      <c r="J855" s="31"/>
      <c r="K855" s="31"/>
      <c r="L855" s="31"/>
      <c r="M855" s="31"/>
      <c r="N855" s="33"/>
      <c r="O855" s="31"/>
    </row>
    <row r="856" spans="1:15" ht="15.75" customHeight="1">
      <c r="A856" s="31"/>
      <c r="B856" s="31"/>
      <c r="C856" s="32"/>
      <c r="D856" s="31"/>
      <c r="E856" s="31"/>
      <c r="F856" s="31"/>
      <c r="G856" s="31"/>
      <c r="H856" s="31"/>
      <c r="I856" s="31"/>
      <c r="J856" s="31"/>
      <c r="K856" s="31"/>
      <c r="L856" s="31"/>
      <c r="M856" s="31"/>
      <c r="N856" s="33"/>
      <c r="O856" s="31"/>
    </row>
    <row r="857" spans="1:15" ht="15.75" customHeight="1">
      <c r="A857" s="31"/>
      <c r="B857" s="31"/>
      <c r="C857" s="32"/>
      <c r="D857" s="31"/>
      <c r="E857" s="31"/>
      <c r="F857" s="31"/>
      <c r="G857" s="31"/>
      <c r="H857" s="31"/>
      <c r="I857" s="31"/>
      <c r="J857" s="31"/>
      <c r="K857" s="31"/>
      <c r="L857" s="31"/>
      <c r="M857" s="31"/>
      <c r="N857" s="33"/>
      <c r="O857" s="31"/>
    </row>
    <row r="858" spans="1:15" ht="15.75" customHeight="1">
      <c r="A858" s="31"/>
      <c r="B858" s="31"/>
      <c r="C858" s="32"/>
      <c r="D858" s="31"/>
      <c r="E858" s="31"/>
      <c r="F858" s="31"/>
      <c r="G858" s="31"/>
      <c r="H858" s="31"/>
      <c r="I858" s="31"/>
      <c r="J858" s="31"/>
      <c r="K858" s="31"/>
      <c r="L858" s="31"/>
      <c r="M858" s="31"/>
      <c r="N858" s="33"/>
      <c r="O858" s="31"/>
    </row>
    <row r="859" spans="1:15" ht="15.75" customHeight="1">
      <c r="A859" s="31"/>
      <c r="B859" s="31"/>
      <c r="C859" s="32"/>
      <c r="D859" s="31"/>
      <c r="E859" s="31"/>
      <c r="F859" s="31"/>
      <c r="G859" s="31"/>
      <c r="H859" s="31"/>
      <c r="I859" s="31"/>
      <c r="J859" s="31"/>
      <c r="K859" s="31"/>
      <c r="L859" s="31"/>
      <c r="M859" s="31"/>
      <c r="N859" s="33"/>
      <c r="O859" s="31"/>
    </row>
    <row r="860" spans="1:15" ht="15.75" customHeight="1">
      <c r="A860" s="31"/>
      <c r="B860" s="31"/>
      <c r="C860" s="32"/>
      <c r="D860" s="31"/>
      <c r="E860" s="31"/>
      <c r="F860" s="31"/>
      <c r="G860" s="31"/>
      <c r="H860" s="31"/>
      <c r="I860" s="31"/>
      <c r="J860" s="31"/>
      <c r="K860" s="31"/>
      <c r="L860" s="31"/>
      <c r="M860" s="31"/>
      <c r="N860" s="33"/>
      <c r="O860" s="31"/>
    </row>
    <row r="861" spans="1:15" ht="15.75" customHeight="1">
      <c r="A861" s="31"/>
      <c r="B861" s="31"/>
      <c r="C861" s="32"/>
      <c r="D861" s="31"/>
      <c r="E861" s="31"/>
      <c r="F861" s="31"/>
      <c r="G861" s="31"/>
      <c r="H861" s="31"/>
      <c r="I861" s="31"/>
      <c r="J861" s="31"/>
      <c r="K861" s="31"/>
      <c r="L861" s="31"/>
      <c r="M861" s="31"/>
      <c r="N861" s="33"/>
      <c r="O861" s="31"/>
    </row>
    <row r="862" spans="1:15" ht="15.75" customHeight="1">
      <c r="A862" s="31"/>
      <c r="B862" s="31"/>
      <c r="C862" s="32"/>
      <c r="D862" s="31"/>
      <c r="E862" s="31"/>
      <c r="F862" s="31"/>
      <c r="G862" s="31"/>
      <c r="H862" s="31"/>
      <c r="I862" s="31"/>
      <c r="J862" s="31"/>
      <c r="K862" s="31"/>
      <c r="L862" s="31"/>
      <c r="M862" s="31"/>
      <c r="N862" s="33"/>
      <c r="O862" s="31"/>
    </row>
    <row r="863" spans="1:15" ht="15.75" customHeight="1">
      <c r="A863" s="31"/>
      <c r="B863" s="31"/>
      <c r="C863" s="32"/>
      <c r="D863" s="31"/>
      <c r="E863" s="31"/>
      <c r="F863" s="31"/>
      <c r="G863" s="31"/>
      <c r="H863" s="31"/>
      <c r="I863" s="31"/>
      <c r="J863" s="31"/>
      <c r="K863" s="31"/>
      <c r="L863" s="31"/>
      <c r="M863" s="31"/>
      <c r="N863" s="33"/>
      <c r="O863" s="31"/>
    </row>
    <row r="864" spans="1:15" ht="15.75" customHeight="1">
      <c r="A864" s="31"/>
      <c r="B864" s="31"/>
      <c r="C864" s="32"/>
      <c r="D864" s="31"/>
      <c r="E864" s="31"/>
      <c r="F864" s="31"/>
      <c r="G864" s="31"/>
      <c r="H864" s="31"/>
      <c r="I864" s="31"/>
      <c r="J864" s="31"/>
      <c r="K864" s="31"/>
      <c r="L864" s="31"/>
      <c r="M864" s="31"/>
      <c r="N864" s="33"/>
      <c r="O864" s="31"/>
    </row>
    <row r="865" spans="1:15" ht="15.75" customHeight="1">
      <c r="A865" s="31"/>
      <c r="B865" s="31"/>
      <c r="C865" s="32"/>
      <c r="D865" s="31"/>
      <c r="E865" s="31"/>
      <c r="F865" s="31"/>
      <c r="G865" s="31"/>
      <c r="H865" s="31"/>
      <c r="I865" s="31"/>
      <c r="J865" s="31"/>
      <c r="K865" s="31"/>
      <c r="L865" s="31"/>
      <c r="M865" s="31"/>
      <c r="N865" s="33"/>
      <c r="O865" s="31"/>
    </row>
    <row r="866" spans="1:15" ht="15.75" customHeight="1">
      <c r="A866" s="31"/>
      <c r="B866" s="31"/>
      <c r="C866" s="32"/>
      <c r="D866" s="31"/>
      <c r="E866" s="31"/>
      <c r="F866" s="31"/>
      <c r="G866" s="31"/>
      <c r="H866" s="31"/>
      <c r="I866" s="31"/>
      <c r="J866" s="31"/>
      <c r="K866" s="31"/>
      <c r="L866" s="31"/>
      <c r="M866" s="31"/>
      <c r="N866" s="33"/>
      <c r="O866" s="31"/>
    </row>
    <row r="867" spans="1:15" ht="15.75" customHeight="1">
      <c r="A867" s="31"/>
      <c r="B867" s="31"/>
      <c r="C867" s="32"/>
      <c r="D867" s="31"/>
      <c r="E867" s="31"/>
      <c r="F867" s="31"/>
      <c r="G867" s="31"/>
      <c r="H867" s="31"/>
      <c r="I867" s="31"/>
      <c r="J867" s="31"/>
      <c r="K867" s="31"/>
      <c r="L867" s="31"/>
      <c r="M867" s="31"/>
      <c r="N867" s="33"/>
      <c r="O867" s="31"/>
    </row>
    <row r="868" spans="1:15" ht="15.75" customHeight="1">
      <c r="A868" s="31"/>
      <c r="B868" s="31"/>
      <c r="C868" s="32"/>
      <c r="D868" s="31"/>
      <c r="E868" s="31"/>
      <c r="F868" s="31"/>
      <c r="G868" s="31"/>
      <c r="H868" s="31"/>
      <c r="I868" s="31"/>
      <c r="J868" s="31"/>
      <c r="K868" s="31"/>
      <c r="L868" s="31"/>
      <c r="M868" s="31"/>
      <c r="N868" s="33"/>
      <c r="O868" s="31"/>
    </row>
    <row r="869" spans="1:15" ht="15.75" customHeight="1">
      <c r="A869" s="31"/>
      <c r="B869" s="31"/>
      <c r="C869" s="32"/>
      <c r="D869" s="31"/>
      <c r="E869" s="31"/>
      <c r="F869" s="31"/>
      <c r="G869" s="31"/>
      <c r="H869" s="31"/>
      <c r="I869" s="31"/>
      <c r="J869" s="31"/>
      <c r="K869" s="31"/>
      <c r="L869" s="31"/>
      <c r="M869" s="31"/>
      <c r="N869" s="33"/>
      <c r="O869" s="31"/>
    </row>
    <row r="870" spans="1:15" ht="15.75" customHeight="1">
      <c r="A870" s="31"/>
      <c r="B870" s="31"/>
      <c r="C870" s="32"/>
      <c r="D870" s="31"/>
      <c r="E870" s="31"/>
      <c r="F870" s="31"/>
      <c r="G870" s="31"/>
      <c r="H870" s="31"/>
      <c r="I870" s="31"/>
      <c r="J870" s="31"/>
      <c r="K870" s="31"/>
      <c r="L870" s="31"/>
      <c r="M870" s="31"/>
      <c r="N870" s="33"/>
      <c r="O870" s="31"/>
    </row>
    <row r="871" spans="1:15" ht="15.75" customHeight="1">
      <c r="A871" s="31"/>
      <c r="B871" s="31"/>
      <c r="C871" s="32"/>
      <c r="D871" s="31"/>
      <c r="E871" s="31"/>
      <c r="F871" s="31"/>
      <c r="G871" s="31"/>
      <c r="H871" s="31"/>
      <c r="I871" s="31"/>
      <c r="J871" s="31"/>
      <c r="K871" s="31"/>
      <c r="L871" s="31"/>
      <c r="M871" s="31"/>
      <c r="N871" s="33"/>
      <c r="O871" s="31"/>
    </row>
    <row r="872" spans="1:15" ht="15.75" customHeight="1">
      <c r="A872" s="31"/>
      <c r="B872" s="31"/>
      <c r="C872" s="32"/>
      <c r="D872" s="31"/>
      <c r="E872" s="31"/>
      <c r="F872" s="31"/>
      <c r="G872" s="31"/>
      <c r="H872" s="31"/>
      <c r="I872" s="31"/>
      <c r="J872" s="31"/>
      <c r="K872" s="31"/>
      <c r="L872" s="31"/>
      <c r="M872" s="31"/>
      <c r="N872" s="33"/>
      <c r="O872" s="31"/>
    </row>
    <row r="873" spans="1:15" ht="15.75" customHeight="1">
      <c r="A873" s="31"/>
      <c r="B873" s="31"/>
      <c r="C873" s="32"/>
      <c r="D873" s="31"/>
      <c r="E873" s="31"/>
      <c r="F873" s="31"/>
      <c r="G873" s="31"/>
      <c r="H873" s="31"/>
      <c r="I873" s="31"/>
      <c r="J873" s="31"/>
      <c r="K873" s="31"/>
      <c r="L873" s="31"/>
      <c r="M873" s="31"/>
      <c r="N873" s="33"/>
      <c r="O873" s="31"/>
    </row>
    <row r="874" spans="1:15" ht="15.75" customHeight="1">
      <c r="A874" s="31"/>
      <c r="B874" s="31"/>
      <c r="C874" s="32"/>
      <c r="D874" s="31"/>
      <c r="E874" s="31"/>
      <c r="F874" s="31"/>
      <c r="G874" s="31"/>
      <c r="H874" s="31"/>
      <c r="I874" s="31"/>
      <c r="J874" s="31"/>
      <c r="K874" s="31"/>
      <c r="L874" s="31"/>
      <c r="M874" s="31"/>
      <c r="N874" s="33"/>
      <c r="O874" s="31"/>
    </row>
    <row r="875" spans="1:15" ht="15.75" customHeight="1">
      <c r="A875" s="31"/>
      <c r="B875" s="31"/>
      <c r="C875" s="32"/>
      <c r="D875" s="31"/>
      <c r="E875" s="31"/>
      <c r="F875" s="31"/>
      <c r="G875" s="31"/>
      <c r="H875" s="31"/>
      <c r="I875" s="31"/>
      <c r="J875" s="31"/>
      <c r="K875" s="31"/>
      <c r="L875" s="31"/>
      <c r="M875" s="31"/>
      <c r="N875" s="33"/>
      <c r="O875" s="31"/>
    </row>
    <row r="876" spans="1:15" ht="15.75" customHeight="1">
      <c r="A876" s="31"/>
      <c r="B876" s="31"/>
      <c r="C876" s="32"/>
      <c r="D876" s="31"/>
      <c r="E876" s="31"/>
      <c r="F876" s="31"/>
      <c r="G876" s="31"/>
      <c r="H876" s="31"/>
      <c r="I876" s="31"/>
      <c r="J876" s="31"/>
      <c r="K876" s="31"/>
      <c r="L876" s="31"/>
      <c r="M876" s="31"/>
      <c r="N876" s="33"/>
      <c r="O876" s="31"/>
    </row>
    <row r="877" spans="1:15" ht="15.75" customHeight="1">
      <c r="A877" s="31"/>
      <c r="B877" s="31"/>
      <c r="C877" s="32"/>
      <c r="D877" s="31"/>
      <c r="E877" s="31"/>
      <c r="F877" s="31"/>
      <c r="G877" s="31"/>
      <c r="H877" s="31"/>
      <c r="I877" s="31"/>
      <c r="J877" s="31"/>
      <c r="K877" s="31"/>
      <c r="L877" s="31"/>
      <c r="M877" s="31"/>
      <c r="N877" s="33"/>
      <c r="O877" s="31"/>
    </row>
    <row r="878" spans="1:15" ht="15.75" customHeight="1">
      <c r="A878" s="31"/>
      <c r="B878" s="31"/>
      <c r="C878" s="32"/>
      <c r="D878" s="31"/>
      <c r="E878" s="31"/>
      <c r="F878" s="31"/>
      <c r="G878" s="31"/>
      <c r="H878" s="31"/>
      <c r="I878" s="31"/>
      <c r="J878" s="31"/>
      <c r="K878" s="31"/>
      <c r="L878" s="31"/>
      <c r="M878" s="31"/>
      <c r="N878" s="33"/>
      <c r="O878" s="31"/>
    </row>
    <row r="879" spans="1:15" ht="15.75" customHeight="1">
      <c r="A879" s="31"/>
      <c r="B879" s="31"/>
      <c r="C879" s="32"/>
      <c r="D879" s="31"/>
      <c r="E879" s="31"/>
      <c r="F879" s="31"/>
      <c r="G879" s="31"/>
      <c r="H879" s="31"/>
      <c r="I879" s="31"/>
      <c r="J879" s="31"/>
      <c r="K879" s="31"/>
      <c r="L879" s="31"/>
      <c r="M879" s="31"/>
      <c r="N879" s="33"/>
      <c r="O879" s="31"/>
    </row>
    <row r="880" spans="1:15" ht="15.75" customHeight="1">
      <c r="A880" s="31"/>
      <c r="B880" s="31"/>
      <c r="C880" s="32"/>
      <c r="D880" s="31"/>
      <c r="E880" s="31"/>
      <c r="F880" s="31"/>
      <c r="G880" s="31"/>
      <c r="H880" s="31"/>
      <c r="I880" s="31"/>
      <c r="J880" s="31"/>
      <c r="K880" s="31"/>
      <c r="L880" s="31"/>
      <c r="M880" s="31"/>
      <c r="N880" s="33"/>
      <c r="O880" s="31"/>
    </row>
    <row r="881" spans="1:15" ht="15.75" customHeight="1">
      <c r="A881" s="31"/>
      <c r="B881" s="31"/>
      <c r="C881" s="32"/>
      <c r="D881" s="31"/>
      <c r="E881" s="31"/>
      <c r="F881" s="31"/>
      <c r="G881" s="31"/>
      <c r="H881" s="31"/>
      <c r="I881" s="31"/>
      <c r="J881" s="31"/>
      <c r="K881" s="31"/>
      <c r="L881" s="31"/>
      <c r="M881" s="31"/>
      <c r="N881" s="33"/>
      <c r="O881" s="31"/>
    </row>
    <row r="882" spans="1:15" ht="15.75" customHeight="1">
      <c r="A882" s="31"/>
      <c r="B882" s="31"/>
      <c r="C882" s="32"/>
      <c r="D882" s="31"/>
      <c r="E882" s="31"/>
      <c r="F882" s="31"/>
      <c r="G882" s="31"/>
      <c r="H882" s="31"/>
      <c r="I882" s="31"/>
      <c r="J882" s="31"/>
      <c r="K882" s="31"/>
      <c r="L882" s="31"/>
      <c r="M882" s="31"/>
      <c r="N882" s="33"/>
      <c r="O882" s="31"/>
    </row>
    <row r="883" spans="1:15" ht="15.75" customHeight="1">
      <c r="A883" s="31"/>
      <c r="B883" s="31"/>
      <c r="C883" s="32"/>
      <c r="D883" s="31"/>
      <c r="E883" s="31"/>
      <c r="F883" s="31"/>
      <c r="G883" s="31"/>
      <c r="H883" s="31"/>
      <c r="I883" s="31"/>
      <c r="J883" s="31"/>
      <c r="K883" s="31"/>
      <c r="L883" s="31"/>
      <c r="M883" s="31"/>
      <c r="N883" s="33"/>
      <c r="O883" s="31"/>
    </row>
    <row r="884" spans="1:15" ht="15.75" customHeight="1">
      <c r="A884" s="31"/>
      <c r="B884" s="31"/>
      <c r="C884" s="32"/>
      <c r="D884" s="31"/>
      <c r="E884" s="31"/>
      <c r="F884" s="31"/>
      <c r="G884" s="31"/>
      <c r="H884" s="31"/>
      <c r="I884" s="31"/>
      <c r="J884" s="31"/>
      <c r="K884" s="31"/>
      <c r="L884" s="31"/>
      <c r="M884" s="31"/>
      <c r="N884" s="33"/>
      <c r="O884" s="31"/>
    </row>
    <row r="885" spans="1:15" ht="15.75" customHeight="1">
      <c r="A885" s="31"/>
      <c r="B885" s="31"/>
      <c r="C885" s="32"/>
      <c r="D885" s="31"/>
      <c r="E885" s="31"/>
      <c r="F885" s="31"/>
      <c r="G885" s="31"/>
      <c r="H885" s="31"/>
      <c r="I885" s="31"/>
      <c r="J885" s="31"/>
      <c r="K885" s="31"/>
      <c r="L885" s="31"/>
      <c r="M885" s="31"/>
      <c r="N885" s="33"/>
      <c r="O885" s="31"/>
    </row>
    <row r="886" spans="1:15" ht="15.75" customHeight="1">
      <c r="A886" s="31"/>
      <c r="B886" s="31"/>
      <c r="C886" s="32"/>
      <c r="D886" s="31"/>
      <c r="E886" s="31"/>
      <c r="F886" s="31"/>
      <c r="G886" s="31"/>
      <c r="H886" s="31"/>
      <c r="I886" s="31"/>
      <c r="J886" s="31"/>
      <c r="K886" s="31"/>
      <c r="L886" s="31"/>
      <c r="M886" s="31"/>
      <c r="N886" s="33"/>
      <c r="O886" s="31"/>
    </row>
    <row r="887" spans="1:15" ht="15.75" customHeight="1">
      <c r="A887" s="31"/>
      <c r="B887" s="31"/>
      <c r="C887" s="32"/>
      <c r="D887" s="31"/>
      <c r="E887" s="31"/>
      <c r="F887" s="31"/>
      <c r="G887" s="31"/>
      <c r="H887" s="31"/>
      <c r="I887" s="31"/>
      <c r="J887" s="31"/>
      <c r="K887" s="31"/>
      <c r="L887" s="31"/>
      <c r="M887" s="31"/>
      <c r="N887" s="33"/>
      <c r="O887" s="31"/>
    </row>
    <row r="888" spans="1:15" ht="15.75" customHeight="1">
      <c r="A888" s="31"/>
      <c r="B888" s="31"/>
      <c r="C888" s="32"/>
      <c r="D888" s="31"/>
      <c r="E888" s="31"/>
      <c r="F888" s="31"/>
      <c r="G888" s="31"/>
      <c r="H888" s="31"/>
      <c r="I888" s="31"/>
      <c r="J888" s="31"/>
      <c r="K888" s="31"/>
      <c r="L888" s="31"/>
      <c r="M888" s="31"/>
      <c r="N888" s="33"/>
      <c r="O888" s="31"/>
    </row>
    <row r="889" spans="1:15" ht="15.75" customHeight="1">
      <c r="A889" s="31"/>
      <c r="B889" s="31"/>
      <c r="C889" s="32"/>
      <c r="D889" s="31"/>
      <c r="E889" s="31"/>
      <c r="F889" s="31"/>
      <c r="G889" s="31"/>
      <c r="H889" s="31"/>
      <c r="I889" s="31"/>
      <c r="J889" s="31"/>
      <c r="K889" s="31"/>
      <c r="L889" s="31"/>
      <c r="M889" s="31"/>
      <c r="N889" s="33"/>
      <c r="O889" s="31"/>
    </row>
    <row r="890" spans="1:15" ht="15.75" customHeight="1">
      <c r="A890" s="31"/>
      <c r="B890" s="31"/>
      <c r="C890" s="32"/>
      <c r="D890" s="31"/>
      <c r="E890" s="31"/>
      <c r="F890" s="31"/>
      <c r="G890" s="31"/>
      <c r="H890" s="31"/>
      <c r="I890" s="31"/>
      <c r="J890" s="31"/>
      <c r="K890" s="31"/>
      <c r="L890" s="31"/>
      <c r="M890" s="31"/>
      <c r="N890" s="33"/>
      <c r="O890" s="31"/>
    </row>
    <row r="891" spans="1:15" ht="15.75" customHeight="1">
      <c r="A891" s="31"/>
      <c r="B891" s="31"/>
      <c r="C891" s="32"/>
      <c r="D891" s="31"/>
      <c r="E891" s="31"/>
      <c r="F891" s="31"/>
      <c r="G891" s="31"/>
      <c r="H891" s="31"/>
      <c r="I891" s="31"/>
      <c r="J891" s="31"/>
      <c r="K891" s="31"/>
      <c r="L891" s="31"/>
      <c r="M891" s="31"/>
      <c r="N891" s="33"/>
      <c r="O891" s="31"/>
    </row>
    <row r="892" spans="1:15" ht="15.75" customHeight="1">
      <c r="A892" s="31"/>
      <c r="B892" s="31"/>
      <c r="C892" s="32"/>
      <c r="D892" s="31"/>
      <c r="E892" s="31"/>
      <c r="F892" s="31"/>
      <c r="G892" s="31"/>
      <c r="H892" s="31"/>
      <c r="I892" s="31"/>
      <c r="J892" s="31"/>
      <c r="K892" s="31"/>
      <c r="L892" s="31"/>
      <c r="M892" s="31"/>
      <c r="N892" s="33"/>
      <c r="O892" s="31"/>
    </row>
    <row r="893" spans="1:15" ht="15.75" customHeight="1">
      <c r="A893" s="31"/>
      <c r="B893" s="31"/>
      <c r="C893" s="32"/>
      <c r="D893" s="31"/>
      <c r="E893" s="31"/>
      <c r="F893" s="31"/>
      <c r="G893" s="31"/>
      <c r="H893" s="31"/>
      <c r="I893" s="31"/>
      <c r="J893" s="31"/>
      <c r="K893" s="31"/>
      <c r="L893" s="31"/>
      <c r="M893" s="31"/>
      <c r="N893" s="33"/>
      <c r="O893" s="31"/>
    </row>
    <row r="894" spans="1:15" ht="15.75" customHeight="1">
      <c r="A894" s="31"/>
      <c r="B894" s="31"/>
      <c r="C894" s="32"/>
      <c r="D894" s="31"/>
      <c r="E894" s="31"/>
      <c r="F894" s="31"/>
      <c r="G894" s="31"/>
      <c r="H894" s="31"/>
      <c r="I894" s="31"/>
      <c r="J894" s="31"/>
      <c r="K894" s="31"/>
      <c r="L894" s="31"/>
      <c r="M894" s="31"/>
      <c r="N894" s="33"/>
      <c r="O894" s="31"/>
    </row>
    <row r="895" spans="1:15" ht="15.75" customHeight="1">
      <c r="A895" s="31"/>
      <c r="B895" s="31"/>
      <c r="C895" s="32"/>
      <c r="D895" s="31"/>
      <c r="E895" s="31"/>
      <c r="F895" s="31"/>
      <c r="G895" s="31"/>
      <c r="H895" s="31"/>
      <c r="I895" s="31"/>
      <c r="J895" s="31"/>
      <c r="K895" s="31"/>
      <c r="L895" s="31"/>
      <c r="M895" s="31"/>
      <c r="N895" s="33"/>
      <c r="O895" s="31"/>
    </row>
    <row r="896" spans="1:15" ht="15.75" customHeight="1">
      <c r="A896" s="31"/>
      <c r="B896" s="31"/>
      <c r="C896" s="32"/>
      <c r="D896" s="31"/>
      <c r="E896" s="31"/>
      <c r="F896" s="31"/>
      <c r="G896" s="31"/>
      <c r="H896" s="31"/>
      <c r="I896" s="31"/>
      <c r="J896" s="31"/>
      <c r="K896" s="31"/>
      <c r="L896" s="31"/>
      <c r="M896" s="31"/>
      <c r="N896" s="33"/>
      <c r="O896" s="31"/>
    </row>
    <row r="897" spans="1:15" ht="15.75" customHeight="1">
      <c r="A897" s="31"/>
      <c r="B897" s="31"/>
      <c r="C897" s="32"/>
      <c r="D897" s="31"/>
      <c r="E897" s="31"/>
      <c r="F897" s="31"/>
      <c r="G897" s="31"/>
      <c r="H897" s="31"/>
      <c r="I897" s="31"/>
      <c r="J897" s="31"/>
      <c r="K897" s="31"/>
      <c r="L897" s="31"/>
      <c r="M897" s="31"/>
      <c r="N897" s="33"/>
      <c r="O897" s="31"/>
    </row>
    <row r="898" spans="1:15" ht="15.75" customHeight="1">
      <c r="A898" s="31"/>
      <c r="B898" s="31"/>
      <c r="C898" s="32"/>
      <c r="D898" s="31"/>
      <c r="E898" s="31"/>
      <c r="F898" s="31"/>
      <c r="G898" s="31"/>
      <c r="H898" s="31"/>
      <c r="I898" s="31"/>
      <c r="J898" s="31"/>
      <c r="K898" s="31"/>
      <c r="L898" s="31"/>
      <c r="M898" s="31"/>
      <c r="N898" s="33"/>
      <c r="O898" s="31"/>
    </row>
    <row r="899" spans="1:15" ht="15.75" customHeight="1">
      <c r="A899" s="31"/>
      <c r="B899" s="31"/>
      <c r="C899" s="32"/>
      <c r="D899" s="31"/>
      <c r="E899" s="31"/>
      <c r="F899" s="31"/>
      <c r="G899" s="31"/>
      <c r="H899" s="31"/>
      <c r="I899" s="31"/>
      <c r="J899" s="31"/>
      <c r="K899" s="31"/>
      <c r="L899" s="31"/>
      <c r="M899" s="31"/>
      <c r="N899" s="33"/>
      <c r="O899" s="31"/>
    </row>
    <row r="900" spans="1:15" ht="15.75" customHeight="1">
      <c r="A900" s="31"/>
      <c r="B900" s="31"/>
      <c r="C900" s="32"/>
      <c r="D900" s="31"/>
      <c r="E900" s="31"/>
      <c r="F900" s="31"/>
      <c r="G900" s="31"/>
      <c r="H900" s="31"/>
      <c r="I900" s="31"/>
      <c r="J900" s="31"/>
      <c r="K900" s="31"/>
      <c r="L900" s="31"/>
      <c r="M900" s="31"/>
      <c r="N900" s="33"/>
      <c r="O900" s="31"/>
    </row>
    <row r="901" spans="1:15" ht="15.75" customHeight="1">
      <c r="A901" s="31"/>
      <c r="B901" s="31"/>
      <c r="C901" s="32"/>
      <c r="D901" s="31"/>
      <c r="E901" s="31"/>
      <c r="F901" s="31"/>
      <c r="G901" s="31"/>
      <c r="H901" s="31"/>
      <c r="I901" s="31"/>
      <c r="J901" s="31"/>
      <c r="K901" s="31"/>
      <c r="L901" s="31"/>
      <c r="M901" s="31"/>
      <c r="N901" s="33"/>
      <c r="O901" s="31"/>
    </row>
    <row r="902" spans="1:15" ht="15.75" customHeight="1">
      <c r="A902" s="31"/>
      <c r="B902" s="31"/>
      <c r="C902" s="32"/>
      <c r="D902" s="31"/>
      <c r="E902" s="31"/>
      <c r="F902" s="31"/>
      <c r="G902" s="31"/>
      <c r="H902" s="31"/>
      <c r="I902" s="31"/>
      <c r="J902" s="31"/>
      <c r="K902" s="31"/>
      <c r="L902" s="31"/>
      <c r="M902" s="31"/>
      <c r="N902" s="33"/>
      <c r="O902" s="31"/>
    </row>
    <row r="903" spans="1:15" ht="15.75" customHeight="1">
      <c r="A903" s="31"/>
      <c r="B903" s="31"/>
      <c r="C903" s="32"/>
      <c r="D903" s="31"/>
      <c r="E903" s="31"/>
      <c r="F903" s="31"/>
      <c r="G903" s="31"/>
      <c r="H903" s="31"/>
      <c r="I903" s="31"/>
      <c r="J903" s="31"/>
      <c r="K903" s="31"/>
      <c r="L903" s="31"/>
      <c r="M903" s="31"/>
      <c r="N903" s="33"/>
      <c r="O903" s="31"/>
    </row>
    <row r="904" spans="1:15" ht="15.75" customHeight="1">
      <c r="A904" s="31"/>
      <c r="B904" s="31"/>
      <c r="C904" s="32"/>
      <c r="D904" s="31"/>
      <c r="E904" s="31"/>
      <c r="F904" s="31"/>
      <c r="G904" s="31"/>
      <c r="H904" s="31"/>
      <c r="I904" s="31"/>
      <c r="J904" s="31"/>
      <c r="K904" s="31"/>
      <c r="L904" s="31"/>
      <c r="M904" s="31"/>
      <c r="N904" s="33"/>
      <c r="O904" s="31"/>
    </row>
    <row r="905" spans="1:15" ht="15.75" customHeight="1">
      <c r="A905" s="31"/>
      <c r="B905" s="31"/>
      <c r="C905" s="32"/>
      <c r="D905" s="31"/>
      <c r="E905" s="31"/>
      <c r="F905" s="31"/>
      <c r="G905" s="31"/>
      <c r="H905" s="31"/>
      <c r="I905" s="31"/>
      <c r="J905" s="31"/>
      <c r="K905" s="31"/>
      <c r="L905" s="31"/>
      <c r="M905" s="31"/>
      <c r="N905" s="33"/>
      <c r="O905" s="31"/>
    </row>
    <row r="906" spans="1:15" ht="15.75" customHeight="1">
      <c r="A906" s="31"/>
      <c r="B906" s="31"/>
      <c r="C906" s="32"/>
      <c r="D906" s="31"/>
      <c r="E906" s="31"/>
      <c r="F906" s="31"/>
      <c r="G906" s="31"/>
      <c r="H906" s="31"/>
      <c r="I906" s="31"/>
      <c r="J906" s="31"/>
      <c r="K906" s="31"/>
      <c r="L906" s="31"/>
      <c r="M906" s="31"/>
      <c r="N906" s="33"/>
      <c r="O906" s="31"/>
    </row>
    <row r="907" spans="1:15" ht="15.75" customHeight="1">
      <c r="A907" s="31"/>
      <c r="B907" s="31"/>
      <c r="C907" s="32"/>
      <c r="D907" s="31"/>
      <c r="E907" s="31"/>
      <c r="F907" s="31"/>
      <c r="G907" s="31"/>
      <c r="H907" s="31"/>
      <c r="I907" s="31"/>
      <c r="J907" s="31"/>
      <c r="K907" s="31"/>
      <c r="L907" s="31"/>
      <c r="M907" s="31"/>
      <c r="N907" s="33"/>
      <c r="O907" s="31"/>
    </row>
    <row r="908" spans="1:15" ht="15.75" customHeight="1">
      <c r="A908" s="31"/>
      <c r="B908" s="31"/>
      <c r="C908" s="32"/>
      <c r="D908" s="31"/>
      <c r="E908" s="31"/>
      <c r="F908" s="31"/>
      <c r="G908" s="31"/>
      <c r="H908" s="31"/>
      <c r="I908" s="31"/>
      <c r="J908" s="31"/>
      <c r="K908" s="31"/>
      <c r="L908" s="31"/>
      <c r="M908" s="31"/>
      <c r="N908" s="33"/>
      <c r="O908" s="31"/>
    </row>
    <row r="909" spans="1:15" ht="15.75" customHeight="1">
      <c r="A909" s="31"/>
      <c r="B909" s="31"/>
      <c r="C909" s="32"/>
      <c r="D909" s="31"/>
      <c r="E909" s="31"/>
      <c r="F909" s="31"/>
      <c r="G909" s="31"/>
      <c r="H909" s="31"/>
      <c r="I909" s="31"/>
      <c r="J909" s="31"/>
      <c r="K909" s="31"/>
      <c r="L909" s="31"/>
      <c r="M909" s="31"/>
      <c r="N909" s="33"/>
      <c r="O909" s="31"/>
    </row>
    <row r="910" spans="1:15" ht="15.75" customHeight="1">
      <c r="A910" s="31"/>
      <c r="B910" s="31"/>
      <c r="C910" s="32"/>
      <c r="D910" s="31"/>
      <c r="E910" s="31"/>
      <c r="F910" s="31"/>
      <c r="G910" s="31"/>
      <c r="H910" s="31"/>
      <c r="I910" s="31"/>
      <c r="J910" s="31"/>
      <c r="K910" s="31"/>
      <c r="L910" s="31"/>
      <c r="M910" s="31"/>
      <c r="N910" s="33"/>
      <c r="O910" s="31"/>
    </row>
    <row r="911" spans="1:15" ht="15.75" customHeight="1">
      <c r="A911" s="31"/>
      <c r="B911" s="31"/>
      <c r="C911" s="32"/>
      <c r="D911" s="31"/>
      <c r="E911" s="31"/>
      <c r="F911" s="31"/>
      <c r="G911" s="31"/>
      <c r="H911" s="31"/>
      <c r="I911" s="31"/>
      <c r="J911" s="31"/>
      <c r="K911" s="31"/>
      <c r="L911" s="31"/>
      <c r="M911" s="31"/>
      <c r="N911" s="33"/>
      <c r="O911" s="31"/>
    </row>
    <row r="912" spans="1:15" ht="15.75" customHeight="1">
      <c r="A912" s="31"/>
      <c r="B912" s="31"/>
      <c r="C912" s="32"/>
      <c r="D912" s="31"/>
      <c r="E912" s="31"/>
      <c r="F912" s="31"/>
      <c r="G912" s="31"/>
      <c r="H912" s="31"/>
      <c r="I912" s="31"/>
      <c r="J912" s="31"/>
      <c r="K912" s="31"/>
      <c r="L912" s="31"/>
      <c r="M912" s="31"/>
      <c r="N912" s="33"/>
      <c r="O912" s="31"/>
    </row>
    <row r="913" spans="1:15" ht="15.75" customHeight="1">
      <c r="A913" s="31"/>
      <c r="B913" s="31"/>
      <c r="C913" s="32"/>
      <c r="D913" s="31"/>
      <c r="E913" s="31"/>
      <c r="F913" s="31"/>
      <c r="G913" s="31"/>
      <c r="H913" s="31"/>
      <c r="I913" s="31"/>
      <c r="J913" s="31"/>
      <c r="K913" s="31"/>
      <c r="L913" s="31"/>
      <c r="M913" s="31"/>
      <c r="N913" s="33"/>
      <c r="O913" s="31"/>
    </row>
    <row r="914" spans="1:15" ht="15.75" customHeight="1">
      <c r="A914" s="31"/>
      <c r="B914" s="31"/>
      <c r="C914" s="32"/>
      <c r="D914" s="31"/>
      <c r="E914" s="31"/>
      <c r="F914" s="31"/>
      <c r="G914" s="31"/>
      <c r="H914" s="31"/>
      <c r="I914" s="31"/>
      <c r="J914" s="31"/>
      <c r="K914" s="31"/>
      <c r="L914" s="31"/>
      <c r="M914" s="31"/>
      <c r="N914" s="33"/>
      <c r="O914" s="31"/>
    </row>
    <row r="915" spans="1:15" ht="15.75" customHeight="1">
      <c r="A915" s="31"/>
      <c r="B915" s="31"/>
      <c r="C915" s="32"/>
      <c r="D915" s="31"/>
      <c r="E915" s="31"/>
      <c r="F915" s="31"/>
      <c r="G915" s="31"/>
      <c r="H915" s="31"/>
      <c r="I915" s="31"/>
      <c r="J915" s="31"/>
      <c r="K915" s="31"/>
      <c r="L915" s="31"/>
      <c r="M915" s="31"/>
      <c r="N915" s="33"/>
      <c r="O915" s="31"/>
    </row>
    <row r="916" spans="1:15" ht="15.75" customHeight="1">
      <c r="A916" s="31"/>
      <c r="B916" s="31"/>
      <c r="C916" s="32"/>
      <c r="D916" s="31"/>
      <c r="E916" s="31"/>
      <c r="F916" s="31"/>
      <c r="G916" s="31"/>
      <c r="H916" s="31"/>
      <c r="I916" s="31"/>
      <c r="J916" s="31"/>
      <c r="K916" s="31"/>
      <c r="L916" s="31"/>
      <c r="M916" s="31"/>
      <c r="N916" s="33"/>
      <c r="O916" s="31"/>
    </row>
    <row r="917" spans="1:15" ht="15.75" customHeight="1">
      <c r="A917" s="31"/>
      <c r="B917" s="31"/>
      <c r="C917" s="32"/>
      <c r="D917" s="31"/>
      <c r="E917" s="31"/>
      <c r="F917" s="31"/>
      <c r="G917" s="31"/>
      <c r="H917" s="31"/>
      <c r="I917" s="31"/>
      <c r="J917" s="31"/>
      <c r="K917" s="31"/>
      <c r="L917" s="31"/>
      <c r="M917" s="31"/>
      <c r="N917" s="33"/>
      <c r="O917" s="31"/>
    </row>
    <row r="918" spans="1:15" ht="15.75" customHeight="1">
      <c r="A918" s="31"/>
      <c r="B918" s="31"/>
      <c r="C918" s="32"/>
      <c r="D918" s="31"/>
      <c r="E918" s="31"/>
      <c r="F918" s="31"/>
      <c r="G918" s="31"/>
      <c r="H918" s="31"/>
      <c r="I918" s="31"/>
      <c r="J918" s="31"/>
      <c r="K918" s="31"/>
      <c r="L918" s="31"/>
      <c r="M918" s="31"/>
      <c r="N918" s="33"/>
      <c r="O918" s="31"/>
    </row>
    <row r="919" spans="1:15" ht="15.75" customHeight="1">
      <c r="A919" s="31"/>
      <c r="B919" s="31"/>
      <c r="C919" s="32"/>
      <c r="D919" s="31"/>
      <c r="E919" s="31"/>
      <c r="F919" s="31"/>
      <c r="G919" s="31"/>
      <c r="H919" s="31"/>
      <c r="I919" s="31"/>
      <c r="J919" s="31"/>
      <c r="K919" s="31"/>
      <c r="L919" s="31"/>
      <c r="M919" s="31"/>
      <c r="N919" s="33"/>
      <c r="O919" s="31"/>
    </row>
    <row r="920" spans="1:15" ht="15.75" customHeight="1">
      <c r="A920" s="31"/>
      <c r="B920" s="31"/>
      <c r="C920" s="32"/>
      <c r="D920" s="31"/>
      <c r="E920" s="31"/>
      <c r="F920" s="31"/>
      <c r="G920" s="31"/>
      <c r="H920" s="31"/>
      <c r="I920" s="31"/>
      <c r="J920" s="31"/>
      <c r="K920" s="31"/>
      <c r="L920" s="31"/>
      <c r="M920" s="31"/>
      <c r="N920" s="33"/>
      <c r="O920" s="31"/>
    </row>
    <row r="921" spans="1:15" ht="15.75" customHeight="1">
      <c r="A921" s="31"/>
      <c r="B921" s="31"/>
      <c r="C921" s="32"/>
      <c r="D921" s="31"/>
      <c r="E921" s="31"/>
      <c r="F921" s="31"/>
      <c r="G921" s="31"/>
      <c r="H921" s="31"/>
      <c r="I921" s="31"/>
      <c r="J921" s="31"/>
      <c r="K921" s="31"/>
      <c r="L921" s="31"/>
      <c r="M921" s="31"/>
      <c r="N921" s="33"/>
      <c r="O921" s="31"/>
    </row>
    <row r="922" spans="1:15" ht="15.75" customHeight="1">
      <c r="A922" s="31"/>
      <c r="B922" s="31"/>
      <c r="C922" s="32"/>
      <c r="D922" s="31"/>
      <c r="E922" s="31"/>
      <c r="F922" s="31"/>
      <c r="G922" s="31"/>
      <c r="H922" s="31"/>
      <c r="I922" s="31"/>
      <c r="J922" s="31"/>
      <c r="K922" s="31"/>
      <c r="L922" s="31"/>
      <c r="M922" s="31"/>
      <c r="N922" s="33"/>
      <c r="O922" s="31"/>
    </row>
    <row r="923" spans="1:15" ht="15.75" customHeight="1">
      <c r="A923" s="31"/>
      <c r="B923" s="31"/>
      <c r="C923" s="32"/>
      <c r="D923" s="31"/>
      <c r="E923" s="31"/>
      <c r="F923" s="31"/>
      <c r="G923" s="31"/>
      <c r="H923" s="31"/>
      <c r="I923" s="31"/>
      <c r="J923" s="31"/>
      <c r="K923" s="31"/>
      <c r="L923" s="31"/>
      <c r="M923" s="31"/>
      <c r="N923" s="33"/>
      <c r="O923" s="31"/>
    </row>
    <row r="924" spans="1:15" ht="15.75" customHeight="1">
      <c r="A924" s="31"/>
      <c r="B924" s="31"/>
      <c r="C924" s="32"/>
      <c r="D924" s="31"/>
      <c r="E924" s="31"/>
      <c r="F924" s="31"/>
      <c r="G924" s="31"/>
      <c r="H924" s="31"/>
      <c r="I924" s="31"/>
      <c r="J924" s="31"/>
      <c r="K924" s="31"/>
      <c r="L924" s="31"/>
      <c r="M924" s="31"/>
      <c r="N924" s="33"/>
      <c r="O924" s="31"/>
    </row>
    <row r="925" spans="1:15" ht="15.75" customHeight="1">
      <c r="A925" s="31"/>
      <c r="B925" s="31"/>
      <c r="C925" s="32"/>
      <c r="D925" s="31"/>
      <c r="E925" s="31"/>
      <c r="F925" s="31"/>
      <c r="G925" s="31"/>
      <c r="H925" s="31"/>
      <c r="I925" s="31"/>
      <c r="J925" s="31"/>
      <c r="K925" s="31"/>
      <c r="L925" s="31"/>
      <c r="M925" s="31"/>
      <c r="N925" s="33"/>
      <c r="O925" s="31"/>
    </row>
    <row r="926" spans="1:15" ht="15.75" customHeight="1">
      <c r="A926" s="31"/>
      <c r="B926" s="31"/>
      <c r="C926" s="32"/>
      <c r="D926" s="31"/>
      <c r="E926" s="31"/>
      <c r="F926" s="31"/>
      <c r="G926" s="31"/>
      <c r="H926" s="31"/>
      <c r="I926" s="31"/>
      <c r="J926" s="31"/>
      <c r="K926" s="31"/>
      <c r="L926" s="31"/>
      <c r="M926" s="31"/>
      <c r="N926" s="33"/>
      <c r="O926" s="31"/>
    </row>
    <row r="927" spans="1:15" ht="15.75" customHeight="1">
      <c r="A927" s="31"/>
      <c r="B927" s="31"/>
      <c r="C927" s="32"/>
      <c r="D927" s="31"/>
      <c r="E927" s="31"/>
      <c r="F927" s="31"/>
      <c r="G927" s="31"/>
      <c r="H927" s="31"/>
      <c r="I927" s="31"/>
      <c r="J927" s="31"/>
      <c r="K927" s="31"/>
      <c r="L927" s="31"/>
      <c r="M927" s="31"/>
      <c r="N927" s="33"/>
      <c r="O927" s="31"/>
    </row>
    <row r="928" spans="1:15" ht="15.75" customHeight="1">
      <c r="A928" s="31"/>
      <c r="B928" s="31"/>
      <c r="C928" s="32"/>
      <c r="D928" s="31"/>
      <c r="E928" s="31"/>
      <c r="F928" s="31"/>
      <c r="G928" s="31"/>
      <c r="H928" s="31"/>
      <c r="I928" s="31"/>
      <c r="J928" s="31"/>
      <c r="K928" s="31"/>
      <c r="L928" s="31"/>
      <c r="M928" s="31"/>
      <c r="N928" s="33"/>
      <c r="O928" s="31"/>
    </row>
    <row r="929" spans="1:15" ht="15.75" customHeight="1">
      <c r="A929" s="31"/>
      <c r="B929" s="31"/>
      <c r="C929" s="32"/>
      <c r="D929" s="31"/>
      <c r="E929" s="31"/>
      <c r="F929" s="31"/>
      <c r="G929" s="31"/>
      <c r="H929" s="31"/>
      <c r="I929" s="31"/>
      <c r="J929" s="31"/>
      <c r="K929" s="31"/>
      <c r="L929" s="31"/>
      <c r="M929" s="31"/>
      <c r="N929" s="33"/>
      <c r="O929" s="31"/>
    </row>
    <row r="930" spans="1:15" ht="15.75" customHeight="1">
      <c r="A930" s="31"/>
      <c r="B930" s="31"/>
      <c r="C930" s="32"/>
      <c r="D930" s="31"/>
      <c r="E930" s="31"/>
      <c r="F930" s="31"/>
      <c r="G930" s="31"/>
      <c r="H930" s="31"/>
      <c r="I930" s="31"/>
      <c r="J930" s="31"/>
      <c r="K930" s="31"/>
      <c r="L930" s="31"/>
      <c r="M930" s="31"/>
      <c r="N930" s="33"/>
      <c r="O930" s="31"/>
    </row>
    <row r="931" spans="1:15" ht="15.75" customHeight="1">
      <c r="A931" s="31"/>
      <c r="B931" s="31"/>
      <c r="C931" s="32"/>
      <c r="D931" s="31"/>
      <c r="E931" s="31"/>
      <c r="F931" s="31"/>
      <c r="G931" s="31"/>
      <c r="H931" s="31"/>
      <c r="I931" s="31"/>
      <c r="J931" s="31"/>
      <c r="K931" s="31"/>
      <c r="L931" s="31"/>
      <c r="M931" s="31"/>
      <c r="N931" s="33"/>
      <c r="O931" s="31"/>
    </row>
    <row r="932" spans="1:15" ht="15.75" customHeight="1">
      <c r="A932" s="31"/>
      <c r="B932" s="31"/>
      <c r="C932" s="32"/>
      <c r="D932" s="31"/>
      <c r="E932" s="31"/>
      <c r="F932" s="31"/>
      <c r="G932" s="31"/>
      <c r="H932" s="31"/>
      <c r="I932" s="31"/>
      <c r="J932" s="31"/>
      <c r="K932" s="31"/>
      <c r="L932" s="31"/>
      <c r="M932" s="31"/>
      <c r="N932" s="33"/>
      <c r="O932" s="31"/>
    </row>
    <row r="933" spans="1:15" ht="15.75" customHeight="1">
      <c r="A933" s="31"/>
      <c r="B933" s="31"/>
      <c r="C933" s="32"/>
      <c r="D933" s="31"/>
      <c r="E933" s="31"/>
      <c r="F933" s="31"/>
      <c r="G933" s="31"/>
      <c r="H933" s="31"/>
      <c r="I933" s="31"/>
      <c r="J933" s="31"/>
      <c r="K933" s="31"/>
      <c r="L933" s="31"/>
      <c r="M933" s="31"/>
      <c r="N933" s="33"/>
      <c r="O933" s="31"/>
    </row>
    <row r="934" spans="1:15" ht="15.75" customHeight="1">
      <c r="A934" s="31"/>
      <c r="B934" s="31"/>
      <c r="C934" s="32"/>
      <c r="D934" s="31"/>
      <c r="E934" s="31"/>
      <c r="F934" s="31"/>
      <c r="G934" s="31"/>
      <c r="H934" s="31"/>
      <c r="I934" s="31"/>
      <c r="J934" s="31"/>
      <c r="K934" s="31"/>
      <c r="L934" s="31"/>
      <c r="M934" s="31"/>
      <c r="N934" s="33"/>
      <c r="O934" s="31"/>
    </row>
    <row r="935" spans="1:15" ht="15.75" customHeight="1">
      <c r="A935" s="31"/>
      <c r="B935" s="31"/>
      <c r="C935" s="32"/>
      <c r="D935" s="31"/>
      <c r="E935" s="31"/>
      <c r="F935" s="31"/>
      <c r="G935" s="31"/>
      <c r="H935" s="31"/>
      <c r="I935" s="31"/>
      <c r="J935" s="31"/>
      <c r="K935" s="31"/>
      <c r="L935" s="31"/>
      <c r="M935" s="31"/>
      <c r="N935" s="33"/>
      <c r="O935" s="31"/>
    </row>
    <row r="936" spans="1:15" ht="15.75" customHeight="1">
      <c r="A936" s="31"/>
      <c r="B936" s="31"/>
      <c r="C936" s="32"/>
      <c r="D936" s="31"/>
      <c r="E936" s="31"/>
      <c r="F936" s="31"/>
      <c r="G936" s="31"/>
      <c r="H936" s="31"/>
      <c r="I936" s="31"/>
      <c r="J936" s="31"/>
      <c r="K936" s="31"/>
      <c r="L936" s="31"/>
      <c r="M936" s="31"/>
      <c r="N936" s="33"/>
      <c r="O936" s="31"/>
    </row>
    <row r="937" spans="1:15" ht="15.75" customHeight="1">
      <c r="A937" s="31"/>
      <c r="B937" s="31"/>
      <c r="C937" s="32"/>
      <c r="D937" s="31"/>
      <c r="E937" s="31"/>
      <c r="F937" s="31"/>
      <c r="G937" s="31"/>
      <c r="H937" s="31"/>
      <c r="I937" s="31"/>
      <c r="J937" s="31"/>
      <c r="K937" s="31"/>
      <c r="L937" s="31"/>
      <c r="M937" s="31"/>
      <c r="N937" s="33"/>
      <c r="O937" s="31"/>
    </row>
    <row r="938" spans="1:15" ht="15.75" customHeight="1">
      <c r="A938" s="31"/>
      <c r="B938" s="31"/>
      <c r="C938" s="32"/>
      <c r="D938" s="31"/>
      <c r="E938" s="31"/>
      <c r="F938" s="31"/>
      <c r="G938" s="31"/>
      <c r="H938" s="31"/>
      <c r="I938" s="31"/>
      <c r="J938" s="31"/>
      <c r="K938" s="31"/>
      <c r="L938" s="31"/>
      <c r="M938" s="31"/>
      <c r="N938" s="33"/>
      <c r="O938" s="31"/>
    </row>
    <row r="939" spans="1:15" ht="15.75" customHeight="1">
      <c r="A939" s="31"/>
      <c r="B939" s="31"/>
      <c r="C939" s="32"/>
      <c r="D939" s="31"/>
      <c r="E939" s="31"/>
      <c r="F939" s="31"/>
      <c r="G939" s="31"/>
      <c r="H939" s="31"/>
      <c r="I939" s="31"/>
      <c r="J939" s="31"/>
      <c r="K939" s="31"/>
      <c r="L939" s="31"/>
      <c r="M939" s="31"/>
      <c r="N939" s="33"/>
      <c r="O939" s="31"/>
    </row>
    <row r="940" spans="1:15" ht="15.75" customHeight="1">
      <c r="A940" s="31"/>
      <c r="B940" s="31"/>
      <c r="C940" s="32"/>
      <c r="D940" s="31"/>
      <c r="E940" s="31"/>
      <c r="F940" s="31"/>
      <c r="G940" s="31"/>
      <c r="H940" s="31"/>
      <c r="I940" s="31"/>
      <c r="J940" s="31"/>
      <c r="K940" s="31"/>
      <c r="L940" s="31"/>
      <c r="M940" s="31"/>
      <c r="N940" s="33"/>
      <c r="O940" s="31"/>
    </row>
    <row r="941" spans="1:15" ht="15.75" customHeight="1">
      <c r="A941" s="31"/>
      <c r="B941" s="31"/>
      <c r="C941" s="32"/>
      <c r="D941" s="31"/>
      <c r="E941" s="31"/>
      <c r="F941" s="31"/>
      <c r="G941" s="31"/>
      <c r="H941" s="31"/>
      <c r="I941" s="31"/>
      <c r="J941" s="31"/>
      <c r="K941" s="31"/>
      <c r="L941" s="31"/>
      <c r="M941" s="31"/>
      <c r="N941" s="33"/>
      <c r="O941" s="31"/>
    </row>
    <row r="942" spans="1:15" ht="15.75" customHeight="1">
      <c r="A942" s="31"/>
      <c r="B942" s="31"/>
      <c r="C942" s="32"/>
      <c r="D942" s="31"/>
      <c r="E942" s="31"/>
      <c r="F942" s="31"/>
      <c r="G942" s="31"/>
      <c r="H942" s="31"/>
      <c r="I942" s="31"/>
      <c r="J942" s="31"/>
      <c r="K942" s="31"/>
      <c r="L942" s="31"/>
      <c r="M942" s="31"/>
      <c r="N942" s="33"/>
      <c r="O942" s="31"/>
    </row>
    <row r="943" spans="1:15" ht="15.75" customHeight="1">
      <c r="A943" s="31"/>
      <c r="B943" s="31"/>
      <c r="C943" s="32"/>
      <c r="D943" s="31"/>
      <c r="E943" s="31"/>
      <c r="F943" s="31"/>
      <c r="G943" s="31"/>
      <c r="H943" s="31"/>
      <c r="I943" s="31"/>
      <c r="J943" s="31"/>
      <c r="K943" s="31"/>
      <c r="L943" s="31"/>
      <c r="M943" s="31"/>
      <c r="N943" s="33"/>
      <c r="O943" s="31"/>
    </row>
    <row r="944" spans="1:15" ht="15.75" customHeight="1">
      <c r="A944" s="31"/>
      <c r="B944" s="31"/>
      <c r="C944" s="32"/>
      <c r="D944" s="31"/>
      <c r="E944" s="31"/>
      <c r="F944" s="31"/>
      <c r="G944" s="31"/>
      <c r="H944" s="31"/>
      <c r="I944" s="31"/>
      <c r="J944" s="31"/>
      <c r="K944" s="31"/>
      <c r="L944" s="31"/>
      <c r="M944" s="31"/>
      <c r="N944" s="33"/>
      <c r="O944" s="31"/>
    </row>
    <row r="945" spans="1:15" ht="15.75" customHeight="1">
      <c r="A945" s="31"/>
      <c r="B945" s="31"/>
      <c r="C945" s="32"/>
      <c r="D945" s="31"/>
      <c r="E945" s="31"/>
      <c r="F945" s="31"/>
      <c r="G945" s="31"/>
      <c r="H945" s="31"/>
      <c r="I945" s="31"/>
      <c r="J945" s="31"/>
      <c r="K945" s="31"/>
      <c r="L945" s="31"/>
      <c r="M945" s="31"/>
      <c r="N945" s="33"/>
      <c r="O945" s="31"/>
    </row>
    <row r="946" spans="1:15" ht="15.75" customHeight="1">
      <c r="A946" s="31"/>
      <c r="B946" s="31"/>
      <c r="C946" s="32"/>
      <c r="D946" s="31"/>
      <c r="E946" s="31"/>
      <c r="F946" s="31"/>
      <c r="G946" s="31"/>
      <c r="H946" s="31"/>
      <c r="I946" s="31"/>
      <c r="J946" s="31"/>
      <c r="K946" s="31"/>
      <c r="L946" s="31"/>
      <c r="M946" s="31"/>
      <c r="N946" s="33"/>
      <c r="O946" s="31"/>
    </row>
    <row r="947" spans="1:15" ht="15.75" customHeight="1">
      <c r="A947" s="31"/>
      <c r="B947" s="31"/>
      <c r="C947" s="32"/>
      <c r="D947" s="31"/>
      <c r="E947" s="31"/>
      <c r="F947" s="31"/>
      <c r="G947" s="31"/>
      <c r="H947" s="31"/>
      <c r="I947" s="31"/>
      <c r="J947" s="31"/>
      <c r="K947" s="31"/>
      <c r="L947" s="31"/>
      <c r="M947" s="31"/>
      <c r="N947" s="33"/>
      <c r="O947" s="31"/>
    </row>
    <row r="948" spans="1:15" ht="15.75" customHeight="1">
      <c r="A948" s="31"/>
      <c r="B948" s="31"/>
      <c r="C948" s="32"/>
      <c r="D948" s="31"/>
      <c r="E948" s="31"/>
      <c r="F948" s="31"/>
      <c r="G948" s="31"/>
      <c r="H948" s="31"/>
      <c r="I948" s="31"/>
      <c r="J948" s="31"/>
      <c r="K948" s="31"/>
      <c r="L948" s="31"/>
      <c r="M948" s="31"/>
      <c r="N948" s="33"/>
      <c r="O948" s="31"/>
    </row>
    <row r="949" spans="1:15" ht="15.75" customHeight="1">
      <c r="A949" s="31"/>
      <c r="B949" s="31"/>
      <c r="C949" s="32"/>
      <c r="D949" s="31"/>
      <c r="E949" s="31"/>
      <c r="F949" s="31"/>
      <c r="G949" s="31"/>
      <c r="H949" s="31"/>
      <c r="I949" s="31"/>
      <c r="J949" s="31"/>
      <c r="K949" s="31"/>
      <c r="L949" s="31"/>
      <c r="M949" s="31"/>
      <c r="N949" s="33"/>
      <c r="O949" s="31"/>
    </row>
    <row r="950" spans="1:15" ht="15.75" customHeight="1">
      <c r="A950" s="31"/>
      <c r="B950" s="31"/>
      <c r="C950" s="32"/>
      <c r="D950" s="31"/>
      <c r="E950" s="31"/>
      <c r="F950" s="31"/>
      <c r="G950" s="31"/>
      <c r="H950" s="31"/>
      <c r="I950" s="31"/>
      <c r="J950" s="31"/>
      <c r="K950" s="31"/>
      <c r="L950" s="31"/>
      <c r="M950" s="31"/>
      <c r="N950" s="33"/>
      <c r="O950" s="31"/>
    </row>
    <row r="951" spans="1:15" ht="15.75" customHeight="1">
      <c r="A951" s="31"/>
      <c r="B951" s="31"/>
      <c r="C951" s="32"/>
      <c r="D951" s="31"/>
      <c r="E951" s="31"/>
      <c r="F951" s="31"/>
      <c r="G951" s="31"/>
      <c r="H951" s="31"/>
      <c r="I951" s="31"/>
      <c r="J951" s="31"/>
      <c r="K951" s="31"/>
      <c r="L951" s="31"/>
      <c r="M951" s="31"/>
      <c r="N951" s="33"/>
      <c r="O951" s="31"/>
    </row>
    <row r="952" spans="1:15" ht="15.75" customHeight="1">
      <c r="A952" s="31"/>
      <c r="B952" s="31"/>
      <c r="C952" s="32"/>
      <c r="D952" s="31"/>
      <c r="E952" s="31"/>
      <c r="F952" s="31"/>
      <c r="G952" s="31"/>
      <c r="H952" s="31"/>
      <c r="I952" s="31"/>
      <c r="J952" s="31"/>
      <c r="K952" s="31"/>
      <c r="L952" s="31"/>
      <c r="M952" s="31"/>
      <c r="N952" s="33"/>
      <c r="O952" s="31"/>
    </row>
    <row r="953" spans="1:15" ht="15.75" customHeight="1">
      <c r="A953" s="31"/>
      <c r="B953" s="31"/>
      <c r="C953" s="32"/>
      <c r="D953" s="31"/>
      <c r="E953" s="31"/>
      <c r="F953" s="31"/>
      <c r="G953" s="31"/>
      <c r="H953" s="31"/>
      <c r="I953" s="31"/>
      <c r="J953" s="31"/>
      <c r="K953" s="31"/>
      <c r="L953" s="31"/>
      <c r="M953" s="31"/>
      <c r="N953" s="33"/>
      <c r="O953" s="31"/>
    </row>
    <row r="954" spans="1:15" ht="15.75" customHeight="1">
      <c r="A954" s="31"/>
      <c r="B954" s="31"/>
      <c r="C954" s="32"/>
      <c r="D954" s="31"/>
      <c r="E954" s="31"/>
      <c r="F954" s="31"/>
      <c r="G954" s="31"/>
      <c r="H954" s="31"/>
      <c r="I954" s="31"/>
      <c r="J954" s="31"/>
      <c r="K954" s="31"/>
      <c r="L954" s="31"/>
      <c r="M954" s="31"/>
      <c r="N954" s="33"/>
      <c r="O954" s="31"/>
    </row>
    <row r="955" spans="1:15" ht="15.75" customHeight="1">
      <c r="A955" s="31"/>
      <c r="B955" s="31"/>
      <c r="C955" s="32"/>
      <c r="D955" s="31"/>
      <c r="E955" s="31"/>
      <c r="F955" s="31"/>
      <c r="G955" s="31"/>
      <c r="H955" s="31"/>
      <c r="I955" s="31"/>
      <c r="J955" s="31"/>
      <c r="K955" s="31"/>
      <c r="L955" s="31"/>
      <c r="M955" s="31"/>
      <c r="N955" s="33"/>
      <c r="O955" s="31"/>
    </row>
    <row r="956" spans="1:15" ht="15.75" customHeight="1">
      <c r="A956" s="31"/>
      <c r="B956" s="31"/>
      <c r="C956" s="32"/>
      <c r="D956" s="31"/>
      <c r="E956" s="31"/>
      <c r="F956" s="31"/>
      <c r="G956" s="31"/>
      <c r="H956" s="31"/>
      <c r="I956" s="31"/>
      <c r="J956" s="31"/>
      <c r="K956" s="31"/>
      <c r="L956" s="31"/>
      <c r="M956" s="31"/>
      <c r="N956" s="33"/>
      <c r="O956" s="31"/>
    </row>
    <row r="957" spans="1:15" ht="15.75" customHeight="1">
      <c r="A957" s="31"/>
      <c r="B957" s="31"/>
      <c r="C957" s="32"/>
      <c r="D957" s="31"/>
      <c r="E957" s="31"/>
      <c r="F957" s="31"/>
      <c r="G957" s="31"/>
      <c r="H957" s="31"/>
      <c r="I957" s="31"/>
      <c r="J957" s="31"/>
      <c r="K957" s="31"/>
      <c r="L957" s="31"/>
      <c r="M957" s="31"/>
      <c r="N957" s="33"/>
      <c r="O957" s="31"/>
    </row>
    <row r="958" spans="1:15" ht="15.75" customHeight="1">
      <c r="A958" s="31"/>
      <c r="B958" s="31"/>
      <c r="C958" s="32"/>
      <c r="D958" s="31"/>
      <c r="E958" s="31"/>
      <c r="F958" s="31"/>
      <c r="G958" s="31"/>
      <c r="H958" s="31"/>
      <c r="I958" s="31"/>
      <c r="J958" s="31"/>
      <c r="K958" s="31"/>
      <c r="L958" s="31"/>
      <c r="M958" s="31"/>
      <c r="N958" s="33"/>
      <c r="O958" s="31"/>
    </row>
    <row r="959" spans="1:15" ht="15.75" customHeight="1">
      <c r="A959" s="31"/>
      <c r="B959" s="31"/>
      <c r="C959" s="32"/>
      <c r="D959" s="31"/>
      <c r="E959" s="31"/>
      <c r="F959" s="31"/>
      <c r="G959" s="31"/>
      <c r="H959" s="31"/>
      <c r="I959" s="31"/>
      <c r="J959" s="31"/>
      <c r="K959" s="31"/>
      <c r="L959" s="31"/>
      <c r="M959" s="31"/>
      <c r="N959" s="33"/>
      <c r="O959" s="31"/>
    </row>
    <row r="960" spans="1:15" ht="15.75" customHeight="1">
      <c r="A960" s="31"/>
      <c r="B960" s="31"/>
      <c r="C960" s="32"/>
      <c r="D960" s="31"/>
      <c r="E960" s="31"/>
      <c r="F960" s="31"/>
      <c r="G960" s="31"/>
      <c r="H960" s="31"/>
      <c r="I960" s="31"/>
      <c r="J960" s="31"/>
      <c r="K960" s="31"/>
      <c r="L960" s="31"/>
      <c r="M960" s="31"/>
      <c r="N960" s="33"/>
      <c r="O960" s="31"/>
    </row>
    <row r="961" spans="1:15" ht="15.75" customHeight="1">
      <c r="A961" s="31"/>
      <c r="B961" s="31"/>
      <c r="C961" s="32"/>
      <c r="D961" s="31"/>
      <c r="E961" s="31"/>
      <c r="F961" s="31"/>
      <c r="G961" s="31"/>
      <c r="H961" s="31"/>
      <c r="I961" s="31"/>
      <c r="J961" s="31"/>
      <c r="K961" s="31"/>
      <c r="L961" s="31"/>
      <c r="M961" s="31"/>
      <c r="N961" s="33"/>
      <c r="O961" s="31"/>
    </row>
    <row r="962" spans="1:15" ht="15.75" customHeight="1">
      <c r="A962" s="31"/>
      <c r="B962" s="31"/>
      <c r="C962" s="32"/>
      <c r="D962" s="31"/>
      <c r="E962" s="31"/>
      <c r="F962" s="31"/>
      <c r="G962" s="31"/>
      <c r="H962" s="31"/>
      <c r="I962" s="31"/>
      <c r="J962" s="31"/>
      <c r="K962" s="31"/>
      <c r="L962" s="31"/>
      <c r="M962" s="31"/>
      <c r="N962" s="33"/>
      <c r="O962" s="31"/>
    </row>
    <row r="963" spans="1:15" ht="15.75" customHeight="1">
      <c r="A963" s="31"/>
      <c r="B963" s="31"/>
      <c r="C963" s="32"/>
      <c r="D963" s="31"/>
      <c r="E963" s="31"/>
      <c r="F963" s="31"/>
      <c r="G963" s="31"/>
      <c r="H963" s="31"/>
      <c r="I963" s="31"/>
      <c r="J963" s="31"/>
      <c r="K963" s="31"/>
      <c r="L963" s="31"/>
      <c r="M963" s="31"/>
      <c r="N963" s="33"/>
      <c r="O963" s="31"/>
    </row>
    <row r="964" spans="1:15" ht="15.75" customHeight="1">
      <c r="A964" s="31"/>
      <c r="B964" s="31"/>
      <c r="C964" s="32"/>
      <c r="D964" s="31"/>
      <c r="E964" s="31"/>
      <c r="F964" s="31"/>
      <c r="G964" s="31"/>
      <c r="H964" s="31"/>
      <c r="I964" s="31"/>
      <c r="J964" s="31"/>
      <c r="K964" s="31"/>
      <c r="L964" s="31"/>
      <c r="M964" s="31"/>
      <c r="N964" s="33"/>
      <c r="O964" s="31"/>
    </row>
    <row r="965" spans="1:15" ht="15.75" customHeight="1">
      <c r="A965" s="31"/>
      <c r="B965" s="31"/>
      <c r="C965" s="32"/>
      <c r="D965" s="31"/>
      <c r="E965" s="31"/>
      <c r="F965" s="31"/>
      <c r="G965" s="31"/>
      <c r="H965" s="31"/>
      <c r="I965" s="31"/>
      <c r="J965" s="31"/>
      <c r="K965" s="31"/>
      <c r="L965" s="31"/>
      <c r="M965" s="31"/>
      <c r="N965" s="33"/>
      <c r="O965" s="31"/>
    </row>
    <row r="966" spans="1:15" ht="15.75" customHeight="1">
      <c r="A966" s="31"/>
      <c r="B966" s="31"/>
      <c r="C966" s="32"/>
      <c r="D966" s="31"/>
      <c r="E966" s="31"/>
      <c r="F966" s="31"/>
      <c r="G966" s="31"/>
      <c r="H966" s="31"/>
      <c r="I966" s="31"/>
      <c r="J966" s="31"/>
      <c r="K966" s="31"/>
      <c r="L966" s="31"/>
      <c r="M966" s="31"/>
      <c r="N966" s="33"/>
      <c r="O966" s="31"/>
    </row>
    <row r="967" spans="1:15" ht="15.75" customHeight="1">
      <c r="A967" s="31"/>
      <c r="B967" s="31"/>
      <c r="C967" s="32"/>
      <c r="D967" s="31"/>
      <c r="E967" s="31"/>
      <c r="F967" s="31"/>
      <c r="G967" s="31"/>
      <c r="H967" s="31"/>
      <c r="I967" s="31"/>
      <c r="J967" s="31"/>
      <c r="K967" s="31"/>
      <c r="L967" s="31"/>
      <c r="M967" s="31"/>
      <c r="N967" s="33"/>
      <c r="O967" s="31"/>
    </row>
    <row r="968" spans="1:15" ht="15.75" customHeight="1">
      <c r="A968" s="31"/>
      <c r="B968" s="31"/>
      <c r="C968" s="32"/>
      <c r="D968" s="31"/>
      <c r="E968" s="31"/>
      <c r="F968" s="31"/>
      <c r="G968" s="31"/>
      <c r="H968" s="31"/>
      <c r="I968" s="31"/>
      <c r="J968" s="31"/>
      <c r="K968" s="31"/>
      <c r="L968" s="31"/>
      <c r="M968" s="31"/>
      <c r="N968" s="33"/>
      <c r="O968" s="31"/>
    </row>
    <row r="969" spans="1:15" ht="15.75" customHeight="1">
      <c r="A969" s="31"/>
      <c r="B969" s="31"/>
      <c r="C969" s="32"/>
      <c r="D969" s="31"/>
      <c r="E969" s="31"/>
      <c r="F969" s="31"/>
      <c r="G969" s="31"/>
      <c r="H969" s="31"/>
      <c r="I969" s="31"/>
      <c r="J969" s="31"/>
      <c r="K969" s="31"/>
      <c r="L969" s="31"/>
      <c r="M969" s="31"/>
      <c r="N969" s="33"/>
      <c r="O969" s="31"/>
    </row>
    <row r="970" spans="1:15" ht="15.75" customHeight="1">
      <c r="A970" s="31"/>
      <c r="B970" s="31"/>
      <c r="C970" s="32"/>
      <c r="D970" s="31"/>
      <c r="E970" s="31"/>
      <c r="F970" s="31"/>
      <c r="G970" s="31"/>
      <c r="H970" s="31"/>
      <c r="I970" s="31"/>
      <c r="J970" s="31"/>
      <c r="K970" s="31"/>
      <c r="L970" s="31"/>
      <c r="M970" s="31"/>
      <c r="N970" s="33"/>
      <c r="O970" s="31"/>
    </row>
    <row r="971" spans="1:15" ht="15.75" customHeight="1">
      <c r="A971" s="31"/>
      <c r="B971" s="31"/>
      <c r="C971" s="32"/>
      <c r="D971" s="31"/>
      <c r="E971" s="31"/>
      <c r="F971" s="31"/>
      <c r="G971" s="31"/>
      <c r="H971" s="31"/>
      <c r="I971" s="31"/>
      <c r="J971" s="31"/>
      <c r="K971" s="31"/>
      <c r="L971" s="31"/>
      <c r="M971" s="31"/>
      <c r="N971" s="33"/>
      <c r="O971" s="31"/>
    </row>
    <row r="972" spans="1:15" ht="15.75" customHeight="1">
      <c r="A972" s="31"/>
      <c r="B972" s="31"/>
      <c r="C972" s="32"/>
      <c r="D972" s="31"/>
      <c r="E972" s="31"/>
      <c r="F972" s="31"/>
      <c r="G972" s="31"/>
      <c r="H972" s="31"/>
      <c r="I972" s="31"/>
      <c r="J972" s="31"/>
      <c r="K972" s="31"/>
      <c r="L972" s="31"/>
      <c r="M972" s="31"/>
      <c r="N972" s="33"/>
      <c r="O972" s="31"/>
    </row>
    <row r="973" spans="1:15" ht="15.75" customHeight="1">
      <c r="A973" s="31"/>
      <c r="B973" s="31"/>
      <c r="C973" s="32"/>
      <c r="D973" s="31"/>
      <c r="E973" s="31"/>
      <c r="F973" s="31"/>
      <c r="G973" s="31"/>
      <c r="H973" s="31"/>
      <c r="I973" s="31"/>
      <c r="J973" s="31"/>
      <c r="K973" s="31"/>
      <c r="L973" s="31"/>
      <c r="M973" s="31"/>
      <c r="N973" s="33"/>
      <c r="O973" s="31"/>
    </row>
    <row r="974" spans="1:15" ht="15.75" customHeight="1">
      <c r="A974" s="31"/>
      <c r="B974" s="31"/>
      <c r="C974" s="32"/>
      <c r="D974" s="31"/>
      <c r="E974" s="31"/>
      <c r="F974" s="31"/>
      <c r="G974" s="31"/>
      <c r="H974" s="31"/>
      <c r="I974" s="31"/>
      <c r="J974" s="31"/>
      <c r="K974" s="31"/>
      <c r="L974" s="31"/>
      <c r="M974" s="31"/>
      <c r="N974" s="33"/>
      <c r="O974" s="31"/>
    </row>
    <row r="975" spans="1:15" ht="15.75" customHeight="1">
      <c r="A975" s="31"/>
      <c r="B975" s="31"/>
      <c r="C975" s="32"/>
      <c r="D975" s="31"/>
      <c r="E975" s="31"/>
      <c r="F975" s="31"/>
      <c r="G975" s="31"/>
      <c r="H975" s="31"/>
      <c r="I975" s="31"/>
      <c r="J975" s="31"/>
      <c r="K975" s="31"/>
      <c r="L975" s="31"/>
      <c r="M975" s="31"/>
      <c r="N975" s="33"/>
      <c r="O975" s="31"/>
    </row>
    <row r="976" spans="1:15" ht="15.75" customHeight="1">
      <c r="A976" s="31"/>
      <c r="B976" s="31"/>
      <c r="C976" s="32"/>
      <c r="D976" s="31"/>
      <c r="E976" s="31"/>
      <c r="F976" s="31"/>
      <c r="G976" s="31"/>
      <c r="H976" s="31"/>
      <c r="I976" s="31"/>
      <c r="J976" s="31"/>
      <c r="K976" s="31"/>
      <c r="L976" s="31"/>
      <c r="M976" s="31"/>
      <c r="N976" s="33"/>
      <c r="O976" s="31"/>
    </row>
    <row r="977" spans="1:15" ht="15.75" customHeight="1">
      <c r="A977" s="31"/>
      <c r="B977" s="31"/>
      <c r="C977" s="32"/>
      <c r="D977" s="31"/>
      <c r="E977" s="31"/>
      <c r="F977" s="31"/>
      <c r="G977" s="31"/>
      <c r="H977" s="31"/>
      <c r="I977" s="31"/>
      <c r="J977" s="31"/>
      <c r="K977" s="31"/>
      <c r="L977" s="31"/>
      <c r="M977" s="31"/>
      <c r="N977" s="33"/>
      <c r="O977" s="31"/>
    </row>
    <row r="978" spans="1:15" ht="15.75" customHeight="1">
      <c r="A978" s="31"/>
      <c r="B978" s="31"/>
      <c r="C978" s="32"/>
      <c r="D978" s="31"/>
      <c r="E978" s="31"/>
      <c r="F978" s="31"/>
      <c r="G978" s="31"/>
      <c r="H978" s="31"/>
      <c r="I978" s="31"/>
      <c r="J978" s="31"/>
      <c r="K978" s="31"/>
      <c r="L978" s="31"/>
      <c r="M978" s="31"/>
      <c r="N978" s="33"/>
      <c r="O978" s="31"/>
    </row>
    <row r="979" spans="1:15" ht="15.75" customHeight="1">
      <c r="A979" s="31"/>
      <c r="B979" s="31"/>
      <c r="C979" s="32"/>
      <c r="D979" s="31"/>
      <c r="E979" s="31"/>
      <c r="F979" s="31"/>
      <c r="G979" s="31"/>
      <c r="H979" s="31"/>
      <c r="I979" s="31"/>
      <c r="J979" s="31"/>
      <c r="K979" s="31"/>
      <c r="L979" s="31"/>
      <c r="M979" s="31"/>
      <c r="N979" s="33"/>
      <c r="O979" s="31"/>
    </row>
    <row r="980" spans="1:15" ht="15.75" customHeight="1">
      <c r="A980" s="31"/>
      <c r="B980" s="31"/>
      <c r="C980" s="32"/>
      <c r="D980" s="31"/>
      <c r="E980" s="31"/>
      <c r="F980" s="31"/>
      <c r="G980" s="31"/>
      <c r="H980" s="31"/>
      <c r="I980" s="31"/>
      <c r="J980" s="31"/>
      <c r="K980" s="31"/>
      <c r="L980" s="31"/>
      <c r="M980" s="31"/>
      <c r="N980" s="33"/>
      <c r="O980" s="31"/>
    </row>
    <row r="981" spans="1:15" ht="15.75" customHeight="1">
      <c r="A981" s="31"/>
      <c r="B981" s="31"/>
      <c r="C981" s="32"/>
      <c r="D981" s="31"/>
      <c r="E981" s="31"/>
      <c r="F981" s="31"/>
      <c r="G981" s="31"/>
      <c r="H981" s="31"/>
      <c r="I981" s="31"/>
      <c r="J981" s="31"/>
      <c r="K981" s="31"/>
      <c r="L981" s="31"/>
      <c r="M981" s="31"/>
      <c r="N981" s="33"/>
      <c r="O981" s="31"/>
    </row>
    <row r="982" spans="1:15" ht="15.75" customHeight="1">
      <c r="A982" s="31"/>
      <c r="B982" s="31"/>
      <c r="C982" s="32"/>
      <c r="D982" s="31"/>
      <c r="E982" s="31"/>
      <c r="F982" s="31"/>
      <c r="G982" s="31"/>
      <c r="H982" s="31"/>
      <c r="I982" s="31"/>
      <c r="J982" s="31"/>
      <c r="K982" s="31"/>
      <c r="L982" s="31"/>
      <c r="M982" s="31"/>
      <c r="N982" s="33"/>
      <c r="O982" s="31"/>
    </row>
    <row r="983" spans="1:15" ht="15.75" customHeight="1">
      <c r="A983" s="31"/>
      <c r="B983" s="31"/>
      <c r="C983" s="32"/>
      <c r="D983" s="31"/>
      <c r="E983" s="31"/>
      <c r="F983" s="31"/>
      <c r="G983" s="31"/>
      <c r="H983" s="31"/>
      <c r="I983" s="31"/>
      <c r="J983" s="31"/>
      <c r="K983" s="31"/>
      <c r="L983" s="31"/>
      <c r="M983" s="31"/>
      <c r="N983" s="33"/>
      <c r="O983" s="31"/>
    </row>
    <row r="984" spans="1:15" ht="15.75" customHeight="1">
      <c r="A984" s="31"/>
      <c r="B984" s="31"/>
      <c r="C984" s="32"/>
      <c r="D984" s="31"/>
      <c r="E984" s="31"/>
      <c r="F984" s="31"/>
      <c r="G984" s="31"/>
      <c r="H984" s="31"/>
      <c r="I984" s="31"/>
      <c r="J984" s="31"/>
      <c r="K984" s="31"/>
      <c r="L984" s="31"/>
      <c r="M984" s="31"/>
      <c r="N984" s="33"/>
      <c r="O984" s="31"/>
    </row>
    <row r="985" spans="1:15" ht="15.75" customHeight="1">
      <c r="A985" s="31"/>
      <c r="B985" s="31"/>
      <c r="C985" s="32"/>
      <c r="D985" s="31"/>
      <c r="E985" s="31"/>
      <c r="F985" s="31"/>
      <c r="G985" s="31"/>
      <c r="H985" s="31"/>
      <c r="I985" s="31"/>
      <c r="J985" s="31"/>
      <c r="K985" s="31"/>
      <c r="L985" s="31"/>
      <c r="M985" s="31"/>
      <c r="N985" s="33"/>
      <c r="O985" s="31"/>
    </row>
    <row r="986" spans="1:15" ht="15.75" customHeight="1">
      <c r="A986" s="31"/>
      <c r="B986" s="31"/>
      <c r="C986" s="32"/>
      <c r="D986" s="31"/>
      <c r="E986" s="31"/>
      <c r="F986" s="31"/>
      <c r="G986" s="31"/>
      <c r="H986" s="31"/>
      <c r="I986" s="31"/>
      <c r="J986" s="31"/>
      <c r="K986" s="31"/>
      <c r="L986" s="31"/>
      <c r="M986" s="31"/>
      <c r="N986" s="33"/>
      <c r="O986" s="31"/>
    </row>
    <row r="987" spans="1:15" ht="15.75" customHeight="1">
      <c r="A987" s="31"/>
      <c r="B987" s="31"/>
      <c r="C987" s="32"/>
      <c r="D987" s="31"/>
      <c r="E987" s="31"/>
      <c r="F987" s="31"/>
      <c r="G987" s="31"/>
      <c r="H987" s="31"/>
      <c r="I987" s="31"/>
      <c r="J987" s="31"/>
      <c r="K987" s="31"/>
      <c r="L987" s="31"/>
      <c r="M987" s="31"/>
      <c r="N987" s="33"/>
      <c r="O987" s="31"/>
    </row>
    <row r="988" spans="1:15" ht="15.75" customHeight="1">
      <c r="A988" s="31"/>
      <c r="B988" s="31"/>
      <c r="C988" s="32"/>
      <c r="D988" s="31"/>
      <c r="E988" s="31"/>
      <c r="F988" s="31"/>
      <c r="G988" s="31"/>
      <c r="H988" s="31"/>
      <c r="I988" s="31"/>
      <c r="J988" s="31"/>
      <c r="K988" s="31"/>
      <c r="L988" s="31"/>
      <c r="M988" s="31"/>
      <c r="N988" s="33"/>
      <c r="O988" s="31"/>
    </row>
    <row r="989" spans="1:15" ht="15.75" customHeight="1">
      <c r="A989" s="31"/>
      <c r="B989" s="31"/>
      <c r="C989" s="32"/>
      <c r="D989" s="31"/>
      <c r="E989" s="31"/>
      <c r="F989" s="31"/>
      <c r="G989" s="31"/>
      <c r="H989" s="31"/>
      <c r="I989" s="31"/>
      <c r="J989" s="31"/>
      <c r="K989" s="31"/>
      <c r="L989" s="31"/>
      <c r="M989" s="31"/>
      <c r="N989" s="33"/>
      <c r="O989" s="31"/>
    </row>
    <row r="990" spans="1:15" ht="15.75" customHeight="1">
      <c r="A990" s="31"/>
      <c r="B990" s="31"/>
      <c r="C990" s="32"/>
      <c r="D990" s="31"/>
      <c r="E990" s="31"/>
      <c r="F990" s="31"/>
      <c r="G990" s="31"/>
      <c r="H990" s="31"/>
      <c r="I990" s="31"/>
      <c r="J990" s="31"/>
      <c r="K990" s="31"/>
      <c r="L990" s="31"/>
      <c r="M990" s="31"/>
      <c r="N990" s="33"/>
      <c r="O990" s="31"/>
    </row>
    <row r="991" spans="1:15" ht="15.75" customHeight="1">
      <c r="A991" s="31"/>
      <c r="B991" s="31"/>
      <c r="C991" s="32"/>
      <c r="D991" s="31"/>
      <c r="E991" s="31"/>
      <c r="F991" s="31"/>
      <c r="G991" s="31"/>
      <c r="H991" s="31"/>
      <c r="I991" s="31"/>
      <c r="J991" s="31"/>
      <c r="K991" s="31"/>
      <c r="L991" s="31"/>
      <c r="M991" s="31"/>
      <c r="N991" s="33"/>
      <c r="O991" s="31"/>
    </row>
    <row r="992" spans="1:15" ht="15.75" customHeight="1">
      <c r="A992" s="31"/>
      <c r="B992" s="31"/>
      <c r="C992" s="32"/>
      <c r="D992" s="31"/>
      <c r="E992" s="31"/>
      <c r="F992" s="31"/>
      <c r="G992" s="31"/>
      <c r="H992" s="31"/>
      <c r="I992" s="31"/>
      <c r="J992" s="31"/>
      <c r="K992" s="31"/>
      <c r="L992" s="31"/>
      <c r="M992" s="31"/>
      <c r="N992" s="33"/>
      <c r="O992" s="31"/>
    </row>
    <row r="993" spans="1:15" ht="15.75" customHeight="1">
      <c r="A993" s="31"/>
      <c r="B993" s="31"/>
      <c r="C993" s="32"/>
      <c r="D993" s="31"/>
      <c r="E993" s="31"/>
      <c r="F993" s="31"/>
      <c r="G993" s="31"/>
      <c r="H993" s="31"/>
      <c r="I993" s="31"/>
      <c r="J993" s="31"/>
      <c r="K993" s="31"/>
      <c r="L993" s="31"/>
      <c r="M993" s="31"/>
      <c r="N993" s="33"/>
      <c r="O993" s="31"/>
    </row>
    <row r="994" spans="1:15" ht="15.75" customHeight="1">
      <c r="A994" s="31"/>
      <c r="B994" s="31"/>
      <c r="C994" s="32"/>
      <c r="D994" s="31"/>
      <c r="E994" s="31"/>
      <c r="F994" s="31"/>
      <c r="G994" s="31"/>
      <c r="H994" s="31"/>
      <c r="I994" s="31"/>
      <c r="J994" s="31"/>
      <c r="K994" s="31"/>
      <c r="L994" s="31"/>
      <c r="M994" s="31"/>
      <c r="N994" s="33"/>
      <c r="O994" s="31"/>
    </row>
    <row r="995" spans="1:15" ht="15.75" customHeight="1">
      <c r="A995" s="31"/>
      <c r="B995" s="31"/>
      <c r="C995" s="32"/>
      <c r="D995" s="31"/>
      <c r="E995" s="31"/>
      <c r="F995" s="31"/>
      <c r="G995" s="31"/>
      <c r="H995" s="31"/>
      <c r="I995" s="31"/>
      <c r="J995" s="31"/>
      <c r="K995" s="31"/>
      <c r="L995" s="31"/>
      <c r="M995" s="31"/>
      <c r="N995" s="33"/>
      <c r="O995" s="31"/>
    </row>
    <row r="996" spans="1:15" ht="15.75" customHeight="1">
      <c r="A996" s="31"/>
      <c r="B996" s="31"/>
      <c r="C996" s="32"/>
      <c r="D996" s="31"/>
      <c r="E996" s="31"/>
      <c r="F996" s="31"/>
      <c r="G996" s="31"/>
      <c r="H996" s="31"/>
      <c r="I996" s="31"/>
      <c r="J996" s="31"/>
      <c r="K996" s="31"/>
      <c r="L996" s="31"/>
      <c r="M996" s="31"/>
      <c r="N996" s="33"/>
      <c r="O996" s="31"/>
    </row>
    <row r="997" spans="1:15" ht="15.75" customHeight="1">
      <c r="A997" s="31"/>
      <c r="B997" s="31"/>
      <c r="C997" s="32"/>
      <c r="D997" s="31"/>
      <c r="E997" s="31"/>
      <c r="F997" s="31"/>
      <c r="G997" s="31"/>
      <c r="H997" s="31"/>
      <c r="I997" s="31"/>
      <c r="J997" s="31"/>
      <c r="K997" s="31"/>
      <c r="L997" s="31"/>
      <c r="M997" s="31"/>
      <c r="N997" s="33"/>
      <c r="O997" s="31"/>
    </row>
    <row r="998" spans="1:15" ht="15.75" customHeight="1">
      <c r="A998" s="31"/>
      <c r="B998" s="31"/>
      <c r="C998" s="32"/>
      <c r="D998" s="31"/>
      <c r="E998" s="31"/>
      <c r="F998" s="31"/>
      <c r="G998" s="31"/>
      <c r="H998" s="31"/>
      <c r="I998" s="31"/>
      <c r="J998" s="31"/>
      <c r="K998" s="31"/>
      <c r="L998" s="31"/>
      <c r="M998" s="31"/>
      <c r="N998" s="33"/>
      <c r="O998" s="31"/>
    </row>
    <row r="999" spans="1:15" ht="15.75" customHeight="1">
      <c r="A999" s="31"/>
      <c r="B999" s="31"/>
      <c r="C999" s="32"/>
      <c r="D999" s="31"/>
      <c r="E999" s="31"/>
      <c r="F999" s="31"/>
      <c r="G999" s="31"/>
      <c r="H999" s="31"/>
      <c r="I999" s="31"/>
      <c r="J999" s="31"/>
      <c r="K999" s="31"/>
      <c r="L999" s="31"/>
      <c r="M999" s="31"/>
      <c r="N999" s="33"/>
      <c r="O999" s="31"/>
    </row>
    <row r="1000" spans="1:15" ht="15.75" customHeight="1">
      <c r="A1000" s="31"/>
      <c r="B1000" s="31"/>
      <c r="C1000" s="32"/>
      <c r="D1000" s="31"/>
      <c r="E1000" s="31"/>
      <c r="F1000" s="31"/>
      <c r="G1000" s="31"/>
      <c r="H1000" s="31"/>
      <c r="I1000" s="31"/>
      <c r="J1000" s="31"/>
      <c r="K1000" s="31"/>
      <c r="L1000" s="31"/>
      <c r="M1000" s="31"/>
      <c r="N1000" s="33"/>
      <c r="O1000" s="31"/>
    </row>
    <row r="1001" spans="1:15" ht="15" customHeight="1">
      <c r="A1001" s="31"/>
      <c r="B1001" s="31"/>
      <c r="C1001" s="32"/>
      <c r="D1001" s="31"/>
      <c r="E1001" s="31"/>
      <c r="F1001" s="31"/>
      <c r="G1001" s="31"/>
      <c r="H1001" s="31"/>
      <c r="I1001" s="31"/>
      <c r="J1001" s="31"/>
      <c r="K1001" s="31"/>
      <c r="L1001" s="31"/>
      <c r="M1001" s="31"/>
      <c r="N1001" s="33"/>
      <c r="O1001" s="31"/>
    </row>
    <row r="1002" spans="1:15" ht="15" customHeight="1">
      <c r="A1002" s="31"/>
      <c r="B1002" s="31"/>
      <c r="C1002" s="32"/>
      <c r="D1002" s="31"/>
      <c r="E1002" s="31"/>
      <c r="F1002" s="31"/>
      <c r="G1002" s="31"/>
      <c r="H1002" s="31"/>
      <c r="I1002" s="31"/>
      <c r="J1002" s="31"/>
      <c r="K1002" s="31"/>
      <c r="L1002" s="31"/>
      <c r="M1002" s="31"/>
      <c r="N1002" s="33"/>
      <c r="O1002" s="31"/>
    </row>
    <row r="1003" spans="1:15" ht="15" customHeight="1">
      <c r="A1003" s="31"/>
      <c r="B1003" s="31"/>
      <c r="C1003" s="32"/>
      <c r="D1003" s="31"/>
      <c r="E1003" s="31"/>
      <c r="F1003" s="31"/>
      <c r="G1003" s="31"/>
      <c r="H1003" s="31"/>
      <c r="I1003" s="31"/>
      <c r="J1003" s="31"/>
      <c r="K1003" s="31"/>
      <c r="L1003" s="31"/>
      <c r="M1003" s="31"/>
      <c r="N1003" s="33"/>
      <c r="O1003" s="31"/>
    </row>
    <row r="1004" spans="1:15" ht="15" customHeight="1">
      <c r="A1004" s="31"/>
      <c r="B1004" s="31"/>
      <c r="C1004" s="32"/>
      <c r="D1004" s="31"/>
      <c r="E1004" s="31"/>
      <c r="F1004" s="31"/>
      <c r="G1004" s="31"/>
      <c r="H1004" s="31"/>
      <c r="I1004" s="31"/>
      <c r="J1004" s="31"/>
      <c r="K1004" s="31"/>
      <c r="L1004" s="31"/>
      <c r="M1004" s="31"/>
      <c r="N1004" s="33"/>
      <c r="O1004" s="31"/>
    </row>
    <row r="1005" spans="1:15" ht="15" customHeight="1">
      <c r="A1005" s="31"/>
      <c r="B1005" s="31"/>
      <c r="C1005" s="32"/>
      <c r="D1005" s="31"/>
      <c r="E1005" s="31"/>
      <c r="F1005" s="31"/>
      <c r="G1005" s="31"/>
      <c r="H1005" s="31"/>
      <c r="I1005" s="31"/>
      <c r="J1005" s="31"/>
      <c r="K1005" s="31"/>
      <c r="L1005" s="31"/>
      <c r="M1005" s="31"/>
      <c r="N1005" s="33"/>
      <c r="O1005" s="31"/>
    </row>
    <row r="1006" spans="1:15" ht="15" customHeight="1">
      <c r="A1006" s="31"/>
      <c r="B1006" s="31"/>
      <c r="C1006" s="32"/>
      <c r="D1006" s="31"/>
      <c r="E1006" s="31"/>
      <c r="F1006" s="31"/>
      <c r="G1006" s="31"/>
      <c r="H1006" s="31"/>
      <c r="I1006" s="31"/>
      <c r="J1006" s="31"/>
      <c r="K1006" s="31"/>
      <c r="L1006" s="31"/>
      <c r="M1006" s="31"/>
      <c r="N1006" s="33"/>
      <c r="O1006" s="31"/>
    </row>
    <row r="1007" spans="1:15" ht="15" customHeight="1">
      <c r="A1007" s="31"/>
      <c r="B1007" s="31"/>
      <c r="C1007" s="32"/>
      <c r="D1007" s="31"/>
      <c r="E1007" s="31"/>
      <c r="F1007" s="31"/>
      <c r="G1007" s="31"/>
      <c r="H1007" s="31"/>
      <c r="I1007" s="31"/>
      <c r="J1007" s="31"/>
      <c r="K1007" s="31"/>
      <c r="L1007" s="31"/>
      <c r="M1007" s="31"/>
      <c r="N1007" s="33"/>
      <c r="O1007" s="31"/>
    </row>
    <row r="1008" spans="1:15" ht="15" customHeight="1">
      <c r="A1008" s="31"/>
      <c r="B1008" s="31"/>
      <c r="C1008" s="32"/>
      <c r="D1008" s="31"/>
      <c r="E1008" s="31"/>
      <c r="F1008" s="31"/>
      <c r="G1008" s="31"/>
      <c r="H1008" s="31"/>
      <c r="I1008" s="31"/>
      <c r="J1008" s="31"/>
      <c r="K1008" s="31"/>
      <c r="L1008" s="31"/>
      <c r="M1008" s="31"/>
      <c r="N1008" s="33"/>
      <c r="O1008" s="31"/>
    </row>
    <row r="1009" spans="1:15" ht="15" customHeight="1">
      <c r="A1009" s="31"/>
      <c r="B1009" s="31"/>
      <c r="C1009" s="32"/>
      <c r="D1009" s="31"/>
      <c r="E1009" s="31"/>
      <c r="F1009" s="31"/>
      <c r="G1009" s="31"/>
      <c r="H1009" s="31"/>
      <c r="I1009" s="31"/>
      <c r="J1009" s="31"/>
      <c r="K1009" s="31"/>
      <c r="L1009" s="31"/>
      <c r="M1009" s="31"/>
      <c r="N1009" s="33"/>
      <c r="O1009" s="31"/>
    </row>
    <row r="1010" spans="1:15" ht="15" customHeight="1">
      <c r="A1010" s="31"/>
      <c r="B1010" s="31"/>
      <c r="C1010" s="32"/>
      <c r="D1010" s="31"/>
      <c r="E1010" s="31"/>
      <c r="F1010" s="31"/>
      <c r="G1010" s="31"/>
      <c r="H1010" s="31"/>
      <c r="I1010" s="31"/>
      <c r="J1010" s="31"/>
      <c r="K1010" s="31"/>
      <c r="L1010" s="31"/>
      <c r="M1010" s="31"/>
      <c r="N1010" s="33"/>
      <c r="O1010" s="31"/>
    </row>
    <row r="1011" spans="1:15" ht="15" customHeight="1">
      <c r="A1011" s="31"/>
      <c r="B1011" s="31"/>
      <c r="C1011" s="32"/>
      <c r="D1011" s="31"/>
      <c r="E1011" s="31"/>
      <c r="F1011" s="31"/>
      <c r="G1011" s="31"/>
      <c r="H1011" s="31"/>
      <c r="I1011" s="31"/>
      <c r="J1011" s="31"/>
      <c r="K1011" s="31"/>
      <c r="L1011" s="31"/>
      <c r="M1011" s="31"/>
      <c r="N1011" s="33"/>
      <c r="O1011" s="31"/>
    </row>
    <row r="1012" spans="1:15" ht="15" customHeight="1">
      <c r="A1012" s="31"/>
      <c r="B1012" s="31"/>
      <c r="C1012" s="32"/>
      <c r="D1012" s="31"/>
      <c r="E1012" s="31"/>
      <c r="F1012" s="31"/>
      <c r="G1012" s="31"/>
      <c r="H1012" s="31"/>
      <c r="I1012" s="31"/>
      <c r="J1012" s="31"/>
      <c r="K1012" s="31"/>
      <c r="L1012" s="31"/>
      <c r="M1012" s="31"/>
      <c r="N1012" s="33"/>
      <c r="O1012" s="31"/>
    </row>
    <row r="1013" spans="1:15" ht="15" customHeight="1">
      <c r="A1013" s="31"/>
      <c r="B1013" s="31"/>
      <c r="C1013" s="32"/>
      <c r="D1013" s="31"/>
      <c r="E1013" s="31"/>
      <c r="F1013" s="31"/>
      <c r="G1013" s="31"/>
      <c r="H1013" s="31"/>
      <c r="I1013" s="31"/>
      <c r="J1013" s="31"/>
      <c r="K1013" s="31"/>
      <c r="L1013" s="31"/>
      <c r="M1013" s="31"/>
      <c r="N1013" s="33"/>
      <c r="O1013" s="31"/>
    </row>
    <row r="1014" spans="1:15" ht="15" customHeight="1">
      <c r="A1014" s="31"/>
      <c r="B1014" s="31"/>
      <c r="C1014" s="32"/>
      <c r="D1014" s="31"/>
      <c r="E1014" s="31"/>
      <c r="F1014" s="31"/>
      <c r="G1014" s="31"/>
      <c r="H1014" s="31"/>
      <c r="I1014" s="31"/>
      <c r="J1014" s="31"/>
      <c r="K1014" s="31"/>
      <c r="L1014" s="31"/>
      <c r="M1014" s="31"/>
      <c r="N1014" s="33"/>
      <c r="O1014" s="31"/>
    </row>
    <row r="1015" spans="1:15" ht="15" customHeight="1">
      <c r="A1015" s="31"/>
      <c r="B1015" s="31"/>
      <c r="C1015" s="32"/>
      <c r="D1015" s="31"/>
      <c r="E1015" s="31"/>
      <c r="F1015" s="31"/>
      <c r="G1015" s="31"/>
      <c r="H1015" s="31"/>
      <c r="I1015" s="31"/>
      <c r="J1015" s="31"/>
      <c r="K1015" s="31"/>
      <c r="L1015" s="31"/>
      <c r="M1015" s="31"/>
      <c r="N1015" s="33"/>
      <c r="O1015" s="31"/>
    </row>
    <row r="1016" spans="1:15" ht="15" customHeight="1">
      <c r="A1016" s="31"/>
      <c r="B1016" s="31"/>
      <c r="C1016" s="32"/>
      <c r="D1016" s="31"/>
      <c r="E1016" s="31"/>
      <c r="F1016" s="31"/>
      <c r="G1016" s="31"/>
      <c r="H1016" s="31"/>
      <c r="I1016" s="31"/>
      <c r="J1016" s="31"/>
      <c r="K1016" s="31"/>
      <c r="L1016" s="31"/>
      <c r="M1016" s="31"/>
      <c r="N1016" s="33"/>
      <c r="O1016" s="31"/>
    </row>
    <row r="1017" spans="1:15" ht="15" customHeight="1">
      <c r="A1017" s="31"/>
      <c r="B1017" s="31"/>
      <c r="C1017" s="32"/>
      <c r="D1017" s="31"/>
      <c r="E1017" s="31"/>
      <c r="F1017" s="31"/>
      <c r="G1017" s="31"/>
      <c r="H1017" s="31"/>
      <c r="I1017" s="31"/>
      <c r="J1017" s="31"/>
      <c r="K1017" s="31"/>
      <c r="L1017" s="31"/>
      <c r="M1017" s="31"/>
      <c r="N1017" s="33"/>
      <c r="O1017" s="31"/>
    </row>
    <row r="1018" spans="1:15" ht="15" customHeight="1">
      <c r="A1018" s="31"/>
      <c r="B1018" s="31"/>
      <c r="C1018" s="32"/>
      <c r="D1018" s="31"/>
      <c r="E1018" s="31"/>
      <c r="F1018" s="31"/>
      <c r="G1018" s="31"/>
      <c r="H1018" s="31"/>
      <c r="I1018" s="31"/>
      <c r="J1018" s="31"/>
      <c r="K1018" s="31"/>
      <c r="L1018" s="31"/>
      <c r="M1018" s="31"/>
      <c r="N1018" s="33"/>
      <c r="O1018" s="31"/>
    </row>
    <row r="1019" spans="1:15" ht="15" customHeight="1">
      <c r="A1019" s="31"/>
      <c r="B1019" s="31"/>
      <c r="C1019" s="32"/>
      <c r="D1019" s="31"/>
      <c r="E1019" s="31"/>
      <c r="F1019" s="31"/>
      <c r="G1019" s="31"/>
      <c r="H1019" s="31"/>
      <c r="I1019" s="31"/>
      <c r="J1019" s="31"/>
      <c r="K1019" s="31"/>
      <c r="L1019" s="31"/>
      <c r="M1019" s="31"/>
      <c r="N1019" s="33"/>
      <c r="O1019" s="31"/>
    </row>
    <row r="1020" spans="1:15" ht="15" customHeight="1">
      <c r="A1020" s="31"/>
      <c r="B1020" s="31"/>
      <c r="C1020" s="32"/>
      <c r="D1020" s="31"/>
      <c r="E1020" s="31"/>
      <c r="F1020" s="31"/>
      <c r="G1020" s="31"/>
      <c r="H1020" s="31"/>
      <c r="I1020" s="31"/>
      <c r="J1020" s="31"/>
      <c r="K1020" s="31"/>
      <c r="L1020" s="31"/>
      <c r="M1020" s="31"/>
      <c r="N1020" s="33"/>
      <c r="O1020" s="31"/>
    </row>
    <row r="1021" spans="1:15" ht="15" customHeight="1">
      <c r="A1021" s="31"/>
      <c r="B1021" s="31"/>
      <c r="C1021" s="32"/>
      <c r="D1021" s="31"/>
      <c r="E1021" s="31"/>
      <c r="F1021" s="31"/>
      <c r="G1021" s="31"/>
      <c r="H1021" s="31"/>
      <c r="I1021" s="31"/>
      <c r="J1021" s="31"/>
      <c r="K1021" s="31"/>
      <c r="L1021" s="31"/>
      <c r="M1021" s="31"/>
      <c r="N1021" s="33"/>
      <c r="O1021" s="31"/>
    </row>
    <row r="1022" spans="1:15" ht="15" customHeight="1">
      <c r="A1022" s="31"/>
      <c r="B1022" s="31"/>
      <c r="C1022" s="32"/>
      <c r="D1022" s="31"/>
      <c r="E1022" s="31"/>
      <c r="F1022" s="31"/>
      <c r="G1022" s="31"/>
      <c r="H1022" s="31"/>
      <c r="I1022" s="31"/>
      <c r="J1022" s="31"/>
      <c r="K1022" s="31"/>
      <c r="L1022" s="31"/>
      <c r="M1022" s="31"/>
      <c r="N1022" s="33"/>
      <c r="O1022" s="31"/>
    </row>
    <row r="1023" spans="1:15" ht="15" customHeight="1">
      <c r="A1023" s="31"/>
      <c r="B1023" s="31"/>
      <c r="C1023" s="32"/>
      <c r="D1023" s="31"/>
      <c r="E1023" s="31"/>
      <c r="F1023" s="31"/>
      <c r="G1023" s="31"/>
      <c r="H1023" s="31"/>
      <c r="I1023" s="31"/>
      <c r="J1023" s="31"/>
      <c r="K1023" s="31"/>
      <c r="L1023" s="31"/>
      <c r="M1023" s="31"/>
      <c r="N1023" s="33"/>
      <c r="O1023" s="31"/>
    </row>
    <row r="1024" spans="1:15" ht="15" customHeight="1">
      <c r="A1024" s="31"/>
      <c r="B1024" s="31"/>
      <c r="C1024" s="32"/>
      <c r="D1024" s="31"/>
      <c r="E1024" s="31"/>
      <c r="F1024" s="31"/>
      <c r="G1024" s="31"/>
      <c r="H1024" s="31"/>
      <c r="I1024" s="31"/>
      <c r="J1024" s="31"/>
      <c r="K1024" s="31"/>
      <c r="L1024" s="31"/>
      <c r="M1024" s="31"/>
      <c r="N1024" s="33"/>
      <c r="O1024" s="31"/>
    </row>
    <row r="1025" spans="1:15" ht="15" customHeight="1">
      <c r="A1025" s="31"/>
      <c r="B1025" s="31"/>
      <c r="C1025" s="32"/>
      <c r="D1025" s="31"/>
      <c r="E1025" s="31"/>
      <c r="F1025" s="31"/>
      <c r="G1025" s="31"/>
      <c r="H1025" s="31"/>
      <c r="I1025" s="31"/>
      <c r="J1025" s="31"/>
      <c r="K1025" s="31"/>
      <c r="L1025" s="31"/>
      <c r="M1025" s="31"/>
      <c r="N1025" s="33"/>
      <c r="O1025" s="31"/>
    </row>
    <row r="1026" spans="1:15" ht="15" customHeight="1">
      <c r="A1026" s="31"/>
      <c r="B1026" s="31"/>
      <c r="C1026" s="32"/>
      <c r="D1026" s="31"/>
      <c r="E1026" s="31"/>
      <c r="F1026" s="31"/>
      <c r="G1026" s="31"/>
      <c r="H1026" s="31"/>
      <c r="I1026" s="31"/>
      <c r="J1026" s="31"/>
      <c r="K1026" s="31"/>
      <c r="L1026" s="31"/>
      <c r="M1026" s="31"/>
      <c r="N1026" s="33"/>
      <c r="O1026" s="31"/>
    </row>
    <row r="1027" spans="1:15" ht="15" customHeight="1">
      <c r="A1027" s="31"/>
      <c r="B1027" s="31"/>
      <c r="C1027" s="32"/>
      <c r="D1027" s="31"/>
      <c r="E1027" s="31"/>
      <c r="F1027" s="31"/>
      <c r="G1027" s="31"/>
      <c r="H1027" s="31"/>
      <c r="I1027" s="31"/>
      <c r="J1027" s="31"/>
      <c r="K1027" s="31"/>
      <c r="L1027" s="31"/>
      <c r="M1027" s="31"/>
      <c r="N1027" s="33"/>
      <c r="O1027" s="31"/>
    </row>
    <row r="1028" spans="1:15" ht="15" customHeight="1">
      <c r="A1028" s="31"/>
      <c r="B1028" s="31"/>
      <c r="C1028" s="32"/>
      <c r="D1028" s="31"/>
      <c r="E1028" s="31"/>
      <c r="F1028" s="31"/>
      <c r="G1028" s="31"/>
      <c r="H1028" s="31"/>
      <c r="I1028" s="31"/>
      <c r="J1028" s="31"/>
      <c r="K1028" s="31"/>
      <c r="L1028" s="31"/>
      <c r="M1028" s="31"/>
      <c r="N1028" s="33"/>
      <c r="O1028" s="31"/>
    </row>
    <row r="1029" spans="1:15" ht="15" customHeight="1">
      <c r="A1029" s="31"/>
      <c r="B1029" s="31"/>
      <c r="C1029" s="32"/>
      <c r="D1029" s="31"/>
      <c r="E1029" s="31"/>
      <c r="F1029" s="31"/>
      <c r="G1029" s="31"/>
      <c r="H1029" s="31"/>
      <c r="I1029" s="31"/>
      <c r="J1029" s="31"/>
      <c r="K1029" s="31"/>
      <c r="L1029" s="31"/>
      <c r="M1029" s="31"/>
      <c r="N1029" s="33"/>
      <c r="O1029" s="31"/>
    </row>
    <row r="1030" spans="1:15" ht="15" customHeight="1">
      <c r="A1030" s="31"/>
      <c r="B1030" s="31"/>
      <c r="C1030" s="32"/>
      <c r="D1030" s="31"/>
      <c r="E1030" s="31"/>
      <c r="F1030" s="31"/>
      <c r="G1030" s="31"/>
      <c r="H1030" s="31"/>
      <c r="I1030" s="31"/>
      <c r="J1030" s="31"/>
      <c r="K1030" s="31"/>
      <c r="L1030" s="31"/>
      <c r="M1030" s="31"/>
      <c r="N1030" s="33"/>
      <c r="O1030" s="31"/>
    </row>
    <row r="1031" spans="1:15" ht="15" customHeight="1">
      <c r="A1031" s="31"/>
      <c r="B1031" s="31"/>
      <c r="C1031" s="32"/>
      <c r="D1031" s="31"/>
      <c r="E1031" s="31"/>
      <c r="F1031" s="31"/>
      <c r="G1031" s="31"/>
      <c r="H1031" s="31"/>
      <c r="I1031" s="31"/>
      <c r="J1031" s="31"/>
      <c r="K1031" s="31"/>
      <c r="L1031" s="31"/>
      <c r="M1031" s="31"/>
      <c r="N1031" s="33"/>
      <c r="O1031" s="31"/>
    </row>
    <row r="1032" spans="1:15" ht="15" customHeight="1">
      <c r="A1032" s="31"/>
      <c r="B1032" s="31"/>
      <c r="C1032" s="32"/>
      <c r="D1032" s="31"/>
      <c r="E1032" s="31"/>
      <c r="F1032" s="31"/>
      <c r="G1032" s="31"/>
      <c r="H1032" s="31"/>
      <c r="I1032" s="31"/>
      <c r="J1032" s="31"/>
      <c r="K1032" s="31"/>
      <c r="L1032" s="31"/>
      <c r="M1032" s="31"/>
      <c r="N1032" s="33"/>
      <c r="O1032" s="31"/>
    </row>
    <row r="1033" spans="1:15" ht="15" customHeight="1">
      <c r="A1033" s="31"/>
      <c r="B1033" s="31"/>
      <c r="C1033" s="32"/>
      <c r="D1033" s="31"/>
      <c r="E1033" s="31"/>
      <c r="F1033" s="31"/>
      <c r="G1033" s="31"/>
      <c r="H1033" s="31"/>
      <c r="I1033" s="31"/>
      <c r="J1033" s="31"/>
      <c r="K1033" s="31"/>
      <c r="L1033" s="31"/>
      <c r="M1033" s="31"/>
      <c r="N1033" s="33"/>
      <c r="O1033" s="31"/>
    </row>
    <row r="1034" spans="1:15" ht="15" customHeight="1">
      <c r="A1034" s="31"/>
      <c r="B1034" s="31"/>
      <c r="C1034" s="32"/>
      <c r="D1034" s="31"/>
      <c r="E1034" s="31"/>
      <c r="F1034" s="31"/>
      <c r="G1034" s="31"/>
      <c r="H1034" s="31"/>
      <c r="I1034" s="31"/>
      <c r="J1034" s="31"/>
      <c r="K1034" s="31"/>
      <c r="L1034" s="31"/>
      <c r="M1034" s="31"/>
      <c r="N1034" s="33"/>
      <c r="O1034" s="31"/>
    </row>
    <row r="1035" spans="1:15" ht="15" customHeight="1">
      <c r="A1035" s="31"/>
      <c r="B1035" s="31"/>
      <c r="C1035" s="32"/>
      <c r="D1035" s="31"/>
      <c r="E1035" s="31"/>
      <c r="F1035" s="31"/>
      <c r="G1035" s="31"/>
      <c r="H1035" s="31"/>
      <c r="I1035" s="31"/>
      <c r="J1035" s="31"/>
      <c r="K1035" s="31"/>
      <c r="L1035" s="31"/>
      <c r="M1035" s="31"/>
      <c r="N1035" s="33"/>
      <c r="O1035" s="31"/>
    </row>
    <row r="1036" spans="1:15" ht="15" customHeight="1">
      <c r="A1036" s="31"/>
      <c r="B1036" s="31"/>
      <c r="C1036" s="32"/>
      <c r="D1036" s="31"/>
      <c r="E1036" s="31"/>
      <c r="F1036" s="31"/>
      <c r="G1036" s="31"/>
      <c r="H1036" s="31"/>
      <c r="I1036" s="31"/>
      <c r="J1036" s="31"/>
      <c r="K1036" s="31"/>
      <c r="L1036" s="31"/>
      <c r="M1036" s="31"/>
      <c r="N1036" s="33"/>
      <c r="O1036" s="31"/>
    </row>
    <row r="1037" spans="1:15" ht="15" customHeight="1">
      <c r="A1037" s="31"/>
      <c r="B1037" s="31"/>
      <c r="C1037" s="32"/>
      <c r="D1037" s="31"/>
      <c r="E1037" s="31"/>
      <c r="F1037" s="31"/>
      <c r="G1037" s="31"/>
      <c r="H1037" s="31"/>
      <c r="I1037" s="31"/>
      <c r="J1037" s="31"/>
      <c r="K1037" s="31"/>
      <c r="L1037" s="31"/>
      <c r="M1037" s="31"/>
      <c r="N1037" s="33"/>
      <c r="O1037" s="31"/>
    </row>
    <row r="1038" spans="1:15" ht="15" customHeight="1">
      <c r="A1038" s="31"/>
      <c r="B1038" s="31"/>
      <c r="C1038" s="32"/>
      <c r="D1038" s="31"/>
      <c r="E1038" s="31"/>
      <c r="F1038" s="31"/>
      <c r="G1038" s="31"/>
      <c r="H1038" s="31"/>
      <c r="I1038" s="31"/>
      <c r="J1038" s="31"/>
      <c r="K1038" s="31"/>
      <c r="L1038" s="31"/>
      <c r="M1038" s="31"/>
      <c r="N1038" s="33"/>
      <c r="O1038" s="31"/>
    </row>
    <row r="1039" spans="1:15" ht="15" customHeight="1">
      <c r="A1039" s="31"/>
      <c r="B1039" s="31"/>
      <c r="C1039" s="32"/>
      <c r="D1039" s="31"/>
      <c r="E1039" s="31"/>
      <c r="F1039" s="31"/>
      <c r="G1039" s="31"/>
      <c r="H1039" s="31"/>
      <c r="I1039" s="31"/>
      <c r="J1039" s="31"/>
      <c r="K1039" s="31"/>
      <c r="L1039" s="31"/>
      <c r="M1039" s="31"/>
      <c r="N1039" s="33"/>
      <c r="O1039" s="31"/>
    </row>
    <row r="1040" spans="1:15" ht="15" customHeight="1">
      <c r="A1040" s="31"/>
      <c r="B1040" s="31"/>
      <c r="C1040" s="32"/>
      <c r="D1040" s="31"/>
      <c r="E1040" s="31"/>
      <c r="F1040" s="31"/>
      <c r="G1040" s="31"/>
      <c r="H1040" s="31"/>
      <c r="I1040" s="31"/>
      <c r="J1040" s="31"/>
      <c r="K1040" s="31"/>
      <c r="L1040" s="31"/>
      <c r="M1040" s="31"/>
      <c r="N1040" s="33"/>
      <c r="O1040" s="31"/>
    </row>
    <row r="1041" spans="1:15" ht="15" customHeight="1">
      <c r="A1041" s="31"/>
      <c r="B1041" s="31"/>
      <c r="C1041" s="32"/>
      <c r="D1041" s="31"/>
      <c r="E1041" s="31"/>
      <c r="F1041" s="31"/>
      <c r="G1041" s="31"/>
      <c r="H1041" s="31"/>
      <c r="I1041" s="31"/>
      <c r="J1041" s="31"/>
      <c r="K1041" s="31"/>
      <c r="L1041" s="31"/>
      <c r="M1041" s="31"/>
      <c r="N1041" s="33"/>
      <c r="O1041" s="31"/>
    </row>
    <row r="1042" spans="1:15" ht="15" customHeight="1">
      <c r="A1042" s="31"/>
      <c r="B1042" s="31"/>
      <c r="C1042" s="32"/>
      <c r="D1042" s="31"/>
      <c r="E1042" s="31"/>
      <c r="F1042" s="31"/>
      <c r="G1042" s="31"/>
      <c r="H1042" s="31"/>
      <c r="I1042" s="31"/>
      <c r="J1042" s="31"/>
      <c r="K1042" s="31"/>
      <c r="L1042" s="31"/>
      <c r="M1042" s="31"/>
      <c r="N1042" s="33"/>
      <c r="O1042" s="31"/>
    </row>
    <row r="1043" spans="1:15" ht="15" customHeight="1">
      <c r="A1043" s="31"/>
      <c r="B1043" s="31"/>
      <c r="C1043" s="32"/>
      <c r="D1043" s="31"/>
      <c r="E1043" s="31"/>
      <c r="F1043" s="31"/>
      <c r="G1043" s="31"/>
      <c r="H1043" s="31"/>
      <c r="I1043" s="31"/>
      <c r="J1043" s="31"/>
      <c r="K1043" s="31"/>
      <c r="L1043" s="31"/>
      <c r="M1043" s="31"/>
      <c r="N1043" s="33"/>
      <c r="O1043" s="31"/>
    </row>
    <row r="1044" spans="1:15" ht="15" customHeight="1">
      <c r="A1044" s="31"/>
      <c r="B1044" s="31"/>
      <c r="C1044" s="32"/>
      <c r="D1044" s="31"/>
      <c r="E1044" s="31"/>
      <c r="F1044" s="31"/>
      <c r="G1044" s="31"/>
      <c r="H1044" s="31"/>
      <c r="I1044" s="31"/>
      <c r="J1044" s="31"/>
      <c r="K1044" s="31"/>
      <c r="L1044" s="31"/>
      <c r="M1044" s="31"/>
      <c r="N1044" s="33"/>
      <c r="O1044" s="31"/>
    </row>
    <row r="1045" spans="1:15" ht="15" customHeight="1">
      <c r="A1045" s="31"/>
      <c r="B1045" s="31"/>
      <c r="C1045" s="32"/>
      <c r="D1045" s="31"/>
      <c r="E1045" s="31"/>
      <c r="F1045" s="31"/>
      <c r="G1045" s="31"/>
      <c r="H1045" s="31"/>
      <c r="I1045" s="31"/>
      <c r="J1045" s="31"/>
      <c r="K1045" s="31"/>
      <c r="L1045" s="31"/>
      <c r="M1045" s="31"/>
      <c r="N1045" s="33"/>
      <c r="O1045" s="31"/>
    </row>
    <row r="1046" spans="1:15" ht="15" customHeight="1">
      <c r="A1046" s="31"/>
      <c r="B1046" s="31"/>
      <c r="C1046" s="32"/>
      <c r="D1046" s="31"/>
      <c r="E1046" s="31"/>
      <c r="F1046" s="31"/>
      <c r="G1046" s="31"/>
      <c r="H1046" s="31"/>
      <c r="I1046" s="31"/>
      <c r="J1046" s="31"/>
      <c r="K1046" s="31"/>
      <c r="L1046" s="31"/>
      <c r="M1046" s="31"/>
      <c r="N1046" s="33"/>
      <c r="O1046" s="31"/>
    </row>
    <row r="1047" spans="1:15" ht="15" customHeight="1">
      <c r="A1047" s="31"/>
      <c r="B1047" s="31"/>
      <c r="C1047" s="32"/>
      <c r="D1047" s="31"/>
      <c r="E1047" s="31"/>
      <c r="F1047" s="31"/>
      <c r="G1047" s="31"/>
      <c r="H1047" s="31"/>
      <c r="I1047" s="31"/>
      <c r="J1047" s="31"/>
      <c r="K1047" s="31"/>
      <c r="L1047" s="31"/>
      <c r="M1047" s="31"/>
      <c r="N1047" s="33"/>
      <c r="O1047" s="31"/>
    </row>
    <row r="1048" spans="1:15" ht="15" customHeight="1">
      <c r="A1048" s="31"/>
      <c r="B1048" s="31"/>
      <c r="C1048" s="32"/>
      <c r="D1048" s="31"/>
      <c r="E1048" s="31"/>
      <c r="F1048" s="31"/>
      <c r="G1048" s="31"/>
      <c r="H1048" s="31"/>
      <c r="I1048" s="31"/>
      <c r="J1048" s="31"/>
      <c r="K1048" s="31"/>
      <c r="L1048" s="31"/>
      <c r="M1048" s="31"/>
      <c r="N1048" s="33"/>
      <c r="O1048" s="31"/>
    </row>
    <row r="1049" spans="1:15" ht="15" customHeight="1">
      <c r="A1049" s="31"/>
      <c r="B1049" s="31"/>
      <c r="C1049" s="32"/>
      <c r="D1049" s="31"/>
      <c r="E1049" s="31"/>
      <c r="F1049" s="31"/>
      <c r="G1049" s="31"/>
      <c r="H1049" s="31"/>
      <c r="I1049" s="31"/>
      <c r="J1049" s="31"/>
      <c r="K1049" s="31"/>
      <c r="L1049" s="31"/>
      <c r="M1049" s="31"/>
      <c r="N1049" s="33"/>
      <c r="O1049" s="31"/>
    </row>
    <row r="1050" spans="1:15" ht="15" customHeight="1">
      <c r="A1050" s="31"/>
      <c r="B1050" s="31"/>
      <c r="C1050" s="32"/>
      <c r="D1050" s="31"/>
      <c r="E1050" s="31"/>
      <c r="F1050" s="31"/>
      <c r="G1050" s="31"/>
      <c r="H1050" s="31"/>
      <c r="I1050" s="31"/>
      <c r="J1050" s="31"/>
      <c r="K1050" s="31"/>
      <c r="L1050" s="31"/>
      <c r="M1050" s="31"/>
      <c r="N1050" s="33"/>
      <c r="O1050" s="31"/>
    </row>
    <row r="1051" spans="1:15" ht="15" customHeight="1">
      <c r="A1051" s="31"/>
      <c r="B1051" s="31"/>
      <c r="C1051" s="32"/>
      <c r="D1051" s="31"/>
      <c r="E1051" s="31"/>
      <c r="F1051" s="31"/>
      <c r="G1051" s="31"/>
      <c r="H1051" s="31"/>
      <c r="I1051" s="31"/>
      <c r="J1051" s="31"/>
      <c r="K1051" s="31"/>
      <c r="L1051" s="31"/>
      <c r="M1051" s="31"/>
      <c r="N1051" s="33"/>
      <c r="O1051" s="31"/>
    </row>
    <row r="1052" spans="1:15" ht="15" customHeight="1">
      <c r="A1052" s="31"/>
      <c r="B1052" s="31"/>
      <c r="C1052" s="32"/>
      <c r="D1052" s="31"/>
      <c r="E1052" s="31"/>
      <c r="F1052" s="31"/>
      <c r="G1052" s="31"/>
      <c r="H1052" s="31"/>
      <c r="I1052" s="31"/>
      <c r="J1052" s="31"/>
      <c r="K1052" s="31"/>
      <c r="L1052" s="31"/>
      <c r="M1052" s="31"/>
      <c r="N1052" s="33"/>
      <c r="O1052" s="31"/>
    </row>
    <row r="1053" spans="1:15" ht="15" customHeight="1">
      <c r="A1053" s="31"/>
      <c r="B1053" s="31"/>
      <c r="C1053" s="32"/>
      <c r="D1053" s="31"/>
      <c r="E1053" s="31"/>
      <c r="F1053" s="31"/>
      <c r="G1053" s="31"/>
      <c r="H1053" s="31"/>
      <c r="I1053" s="31"/>
      <c r="J1053" s="31"/>
      <c r="K1053" s="31"/>
      <c r="L1053" s="31"/>
      <c r="M1053" s="31"/>
      <c r="N1053" s="33"/>
      <c r="O1053" s="31"/>
    </row>
    <row r="1054" spans="1:15" ht="15" customHeight="1">
      <c r="A1054" s="31"/>
      <c r="B1054" s="31"/>
      <c r="C1054" s="32"/>
      <c r="D1054" s="31"/>
      <c r="E1054" s="31"/>
      <c r="F1054" s="31"/>
      <c r="G1054" s="31"/>
      <c r="H1054" s="31"/>
      <c r="I1054" s="31"/>
      <c r="J1054" s="31"/>
      <c r="K1054" s="31"/>
      <c r="L1054" s="31"/>
      <c r="M1054" s="31"/>
      <c r="N1054" s="33"/>
      <c r="O1054" s="31"/>
    </row>
    <row r="1055" spans="1:15" ht="15" customHeight="1">
      <c r="A1055" s="31"/>
      <c r="B1055" s="31"/>
      <c r="C1055" s="32"/>
      <c r="D1055" s="31"/>
      <c r="E1055" s="31"/>
      <c r="F1055" s="31"/>
      <c r="G1055" s="31"/>
      <c r="H1055" s="31"/>
      <c r="I1055" s="31"/>
      <c r="J1055" s="31"/>
      <c r="K1055" s="31"/>
      <c r="L1055" s="31"/>
      <c r="M1055" s="31"/>
      <c r="N1055" s="33"/>
      <c r="O1055" s="31"/>
    </row>
    <row r="1056" spans="1:15" ht="15" customHeight="1">
      <c r="A1056" s="31"/>
      <c r="B1056" s="31"/>
      <c r="C1056" s="32"/>
      <c r="D1056" s="31"/>
      <c r="E1056" s="31"/>
      <c r="F1056" s="31"/>
      <c r="G1056" s="31"/>
      <c r="H1056" s="31"/>
      <c r="I1056" s="31"/>
      <c r="J1056" s="31"/>
      <c r="K1056" s="31"/>
      <c r="L1056" s="31"/>
      <c r="M1056" s="31"/>
      <c r="N1056" s="33"/>
      <c r="O1056" s="31"/>
    </row>
    <row r="1057" spans="1:15" ht="15" customHeight="1">
      <c r="A1057" s="31"/>
      <c r="B1057" s="31"/>
      <c r="C1057" s="32"/>
      <c r="D1057" s="31"/>
      <c r="E1057" s="31"/>
      <c r="F1057" s="31"/>
      <c r="G1057" s="31"/>
      <c r="H1057" s="31"/>
      <c r="I1057" s="31"/>
      <c r="J1057" s="31"/>
      <c r="K1057" s="31"/>
      <c r="L1057" s="31"/>
      <c r="M1057" s="31"/>
      <c r="N1057" s="33"/>
      <c r="O1057" s="31"/>
    </row>
    <row r="1058" spans="1:15" ht="15" customHeight="1">
      <c r="A1058" s="31"/>
      <c r="B1058" s="31"/>
      <c r="C1058" s="32"/>
      <c r="D1058" s="31"/>
      <c r="E1058" s="31"/>
      <c r="F1058" s="31"/>
      <c r="G1058" s="31"/>
      <c r="H1058" s="31"/>
      <c r="I1058" s="31"/>
      <c r="J1058" s="31"/>
      <c r="K1058" s="31"/>
      <c r="L1058" s="31"/>
      <c r="M1058" s="31"/>
      <c r="N1058" s="33"/>
      <c r="O1058" s="31"/>
    </row>
    <row r="1059" spans="1:15" ht="15" customHeight="1">
      <c r="A1059" s="31"/>
      <c r="B1059" s="31"/>
      <c r="C1059" s="32"/>
      <c r="D1059" s="31"/>
      <c r="E1059" s="31"/>
      <c r="F1059" s="31"/>
      <c r="G1059" s="31"/>
      <c r="H1059" s="31"/>
      <c r="I1059" s="31"/>
      <c r="J1059" s="31"/>
      <c r="K1059" s="31"/>
      <c r="L1059" s="31"/>
      <c r="M1059" s="31"/>
      <c r="N1059" s="33"/>
      <c r="O1059" s="31"/>
    </row>
    <row r="1060" spans="1:15" ht="15" customHeight="1">
      <c r="A1060" s="31"/>
      <c r="B1060" s="31"/>
      <c r="C1060" s="32"/>
      <c r="D1060" s="31"/>
      <c r="E1060" s="31"/>
      <c r="F1060" s="31"/>
      <c r="G1060" s="31"/>
      <c r="H1060" s="31"/>
      <c r="I1060" s="31"/>
      <c r="J1060" s="31"/>
      <c r="K1060" s="31"/>
      <c r="L1060" s="31"/>
      <c r="M1060" s="31"/>
      <c r="N1060" s="33"/>
      <c r="O1060" s="31"/>
    </row>
    <row r="1061" spans="1:15" ht="15" customHeight="1">
      <c r="A1061" s="31"/>
      <c r="B1061" s="31"/>
      <c r="C1061" s="32"/>
      <c r="D1061" s="31"/>
      <c r="E1061" s="31"/>
      <c r="F1061" s="31"/>
      <c r="G1061" s="31"/>
      <c r="H1061" s="31"/>
      <c r="I1061" s="31"/>
      <c r="J1061" s="31"/>
      <c r="K1061" s="31"/>
      <c r="L1061" s="31"/>
      <c r="M1061" s="31"/>
      <c r="N1061" s="33"/>
      <c r="O1061" s="31"/>
    </row>
    <row r="1062" spans="1:15" ht="15" customHeight="1">
      <c r="A1062" s="31"/>
      <c r="B1062" s="31"/>
      <c r="C1062" s="32"/>
      <c r="D1062" s="31"/>
      <c r="E1062" s="31"/>
      <c r="F1062" s="31"/>
      <c r="G1062" s="31"/>
      <c r="H1062" s="31"/>
      <c r="I1062" s="31"/>
      <c r="J1062" s="31"/>
      <c r="K1062" s="31"/>
      <c r="L1062" s="31"/>
      <c r="M1062" s="31"/>
      <c r="N1062" s="33"/>
      <c r="O1062" s="31"/>
    </row>
    <row r="1063" spans="1:15" ht="15" customHeight="1">
      <c r="A1063" s="31"/>
      <c r="B1063" s="31"/>
      <c r="C1063" s="32"/>
      <c r="D1063" s="31"/>
      <c r="E1063" s="31"/>
      <c r="F1063" s="31"/>
      <c r="G1063" s="31"/>
      <c r="H1063" s="31"/>
      <c r="I1063" s="31"/>
      <c r="J1063" s="31"/>
      <c r="K1063" s="31"/>
      <c r="L1063" s="31"/>
      <c r="M1063" s="31"/>
      <c r="N1063" s="33"/>
      <c r="O1063" s="31"/>
    </row>
    <row r="1064" spans="1:15" ht="15" customHeight="1">
      <c r="A1064" s="31"/>
      <c r="B1064" s="31"/>
      <c r="C1064" s="32"/>
      <c r="D1064" s="31"/>
      <c r="E1064" s="31"/>
      <c r="F1064" s="31"/>
      <c r="G1064" s="31"/>
      <c r="H1064" s="31"/>
      <c r="I1064" s="31"/>
      <c r="J1064" s="31"/>
      <c r="K1064" s="31"/>
      <c r="L1064" s="31"/>
      <c r="M1064" s="31"/>
      <c r="N1064" s="33"/>
      <c r="O1064" s="31"/>
    </row>
    <row r="1065" spans="1:15" ht="15" customHeight="1">
      <c r="A1065" s="31"/>
      <c r="B1065" s="31"/>
      <c r="C1065" s="32"/>
      <c r="D1065" s="31"/>
      <c r="E1065" s="31"/>
      <c r="F1065" s="31"/>
      <c r="G1065" s="31"/>
      <c r="H1065" s="31"/>
      <c r="I1065" s="31"/>
      <c r="J1065" s="31"/>
      <c r="K1065" s="31"/>
      <c r="L1065" s="31"/>
      <c r="M1065" s="31"/>
      <c r="N1065" s="33"/>
      <c r="O1065" s="31"/>
    </row>
    <row r="1066" spans="1:15" ht="15" customHeight="1">
      <c r="A1066" s="31"/>
      <c r="B1066" s="31"/>
      <c r="C1066" s="32"/>
      <c r="D1066" s="31"/>
      <c r="E1066" s="31"/>
      <c r="F1066" s="31"/>
      <c r="G1066" s="31"/>
      <c r="H1066" s="31"/>
      <c r="I1066" s="31"/>
      <c r="J1066" s="31"/>
      <c r="K1066" s="31"/>
      <c r="L1066" s="31"/>
      <c r="M1066" s="31"/>
      <c r="N1066" s="33"/>
      <c r="O1066" s="31"/>
    </row>
    <row r="1067" spans="1:15" ht="15" customHeight="1">
      <c r="A1067" s="31"/>
      <c r="B1067" s="31"/>
      <c r="C1067" s="32"/>
      <c r="D1067" s="31"/>
      <c r="E1067" s="31"/>
      <c r="F1067" s="31"/>
      <c r="G1067" s="31"/>
      <c r="H1067" s="31"/>
      <c r="I1067" s="31"/>
      <c r="J1067" s="31"/>
      <c r="K1067" s="31"/>
      <c r="L1067" s="31"/>
      <c r="M1067" s="31"/>
      <c r="N1067" s="33"/>
      <c r="O1067" s="31"/>
    </row>
    <row r="1068" spans="1:15" ht="15" customHeight="1">
      <c r="A1068" s="31"/>
      <c r="B1068" s="31"/>
      <c r="C1068" s="32"/>
      <c r="D1068" s="31"/>
      <c r="E1068" s="31"/>
      <c r="F1068" s="31"/>
      <c r="G1068" s="31"/>
      <c r="H1068" s="31"/>
      <c r="I1068" s="31"/>
      <c r="J1068" s="31"/>
      <c r="K1068" s="31"/>
      <c r="L1068" s="31"/>
      <c r="M1068" s="31"/>
      <c r="N1068" s="33"/>
      <c r="O1068" s="31"/>
    </row>
    <row r="1069" spans="1:15" ht="15" customHeight="1">
      <c r="A1069" s="31"/>
      <c r="B1069" s="31"/>
      <c r="C1069" s="32"/>
      <c r="D1069" s="31"/>
      <c r="E1069" s="31"/>
      <c r="F1069" s="31"/>
      <c r="G1069" s="31"/>
      <c r="H1069" s="31"/>
      <c r="I1069" s="31"/>
      <c r="J1069" s="31"/>
      <c r="K1069" s="31"/>
      <c r="L1069" s="31"/>
      <c r="M1069" s="31"/>
      <c r="N1069" s="33"/>
      <c r="O1069" s="31"/>
    </row>
    <row r="1070" spans="1:15" ht="15" customHeight="1">
      <c r="A1070" s="31"/>
      <c r="B1070" s="31"/>
      <c r="C1070" s="32"/>
      <c r="D1070" s="31"/>
      <c r="E1070" s="31"/>
      <c r="F1070" s="31"/>
      <c r="G1070" s="31"/>
      <c r="H1070" s="31"/>
      <c r="I1070" s="31"/>
      <c r="J1070" s="31"/>
      <c r="K1070" s="31"/>
      <c r="L1070" s="31"/>
      <c r="M1070" s="31"/>
      <c r="N1070" s="33"/>
      <c r="O1070" s="31"/>
    </row>
    <row r="1071" spans="1:15" ht="15" customHeight="1">
      <c r="A1071" s="31"/>
      <c r="B1071" s="31"/>
      <c r="C1071" s="32"/>
      <c r="D1071" s="31"/>
      <c r="E1071" s="31"/>
      <c r="F1071" s="31"/>
      <c r="G1071" s="31"/>
      <c r="H1071" s="31"/>
      <c r="I1071" s="31"/>
      <c r="J1071" s="31"/>
      <c r="K1071" s="31"/>
      <c r="L1071" s="31"/>
      <c r="M1071" s="31"/>
      <c r="N1071" s="33"/>
      <c r="O1071" s="31"/>
    </row>
    <row r="1072" spans="1:15" ht="15" customHeight="1">
      <c r="A1072" s="31"/>
      <c r="B1072" s="31"/>
      <c r="C1072" s="32"/>
      <c r="D1072" s="31"/>
      <c r="E1072" s="31"/>
      <c r="F1072" s="31"/>
      <c r="G1072" s="31"/>
      <c r="H1072" s="31"/>
      <c r="I1072" s="31"/>
      <c r="J1072" s="31"/>
      <c r="K1072" s="31"/>
      <c r="L1072" s="31"/>
      <c r="M1072" s="31"/>
      <c r="N1072" s="33"/>
      <c r="O1072" s="31"/>
    </row>
    <row r="1073" spans="1:15" ht="15" customHeight="1">
      <c r="A1073" s="31"/>
      <c r="B1073" s="31"/>
      <c r="C1073" s="32"/>
      <c r="D1073" s="31"/>
      <c r="E1073" s="31"/>
      <c r="F1073" s="31"/>
      <c r="G1073" s="31"/>
      <c r="H1073" s="31"/>
      <c r="I1073" s="31"/>
      <c r="J1073" s="31"/>
      <c r="K1073" s="31"/>
      <c r="L1073" s="31"/>
      <c r="M1073" s="31"/>
      <c r="N1073" s="33"/>
      <c r="O1073" s="31"/>
    </row>
    <row r="1074" spans="1:15" ht="15" customHeight="1">
      <c r="A1074" s="31"/>
      <c r="B1074" s="31"/>
      <c r="C1074" s="32"/>
      <c r="D1074" s="31"/>
      <c r="E1074" s="31"/>
      <c r="F1074" s="31"/>
      <c r="G1074" s="31"/>
      <c r="H1074" s="31"/>
      <c r="I1074" s="31"/>
      <c r="J1074" s="31"/>
      <c r="K1074" s="31"/>
      <c r="L1074" s="31"/>
      <c r="M1074" s="31"/>
      <c r="N1074" s="33"/>
      <c r="O1074" s="31"/>
    </row>
    <row r="1075" spans="1:15" ht="15" customHeight="1">
      <c r="A1075" s="31"/>
      <c r="B1075" s="31"/>
      <c r="C1075" s="32"/>
      <c r="D1075" s="31"/>
      <c r="E1075" s="31"/>
      <c r="F1075" s="31"/>
      <c r="G1075" s="31"/>
      <c r="H1075" s="31"/>
      <c r="I1075" s="31"/>
      <c r="J1075" s="31"/>
      <c r="K1075" s="31"/>
      <c r="L1075" s="31"/>
      <c r="M1075" s="31"/>
      <c r="N1075" s="33"/>
      <c r="O1075" s="31"/>
    </row>
    <row r="1076" spans="1:15" ht="15" customHeight="1">
      <c r="A1076" s="31"/>
      <c r="B1076" s="31"/>
      <c r="C1076" s="32"/>
      <c r="D1076" s="31"/>
      <c r="E1076" s="31"/>
      <c r="F1076" s="31"/>
      <c r="G1076" s="31"/>
      <c r="H1076" s="31"/>
      <c r="I1076" s="31"/>
      <c r="J1076" s="31"/>
      <c r="K1076" s="31"/>
      <c r="L1076" s="31"/>
      <c r="M1076" s="31"/>
      <c r="N1076" s="33"/>
      <c r="O1076" s="31"/>
    </row>
    <row r="1077" spans="1:15" ht="15" customHeight="1">
      <c r="A1077" s="31"/>
      <c r="B1077" s="31"/>
      <c r="C1077" s="32"/>
      <c r="D1077" s="31"/>
      <c r="E1077" s="31"/>
      <c r="F1077" s="31"/>
      <c r="G1077" s="31"/>
      <c r="H1077" s="31"/>
      <c r="I1077" s="31"/>
      <c r="J1077" s="31"/>
      <c r="K1077" s="31"/>
      <c r="L1077" s="31"/>
      <c r="M1077" s="31"/>
      <c r="N1077" s="33"/>
      <c r="O1077" s="31"/>
    </row>
    <row r="1078" spans="1:15" ht="15" customHeight="1">
      <c r="A1078" s="31"/>
      <c r="B1078" s="31"/>
      <c r="C1078" s="32"/>
      <c r="D1078" s="31"/>
      <c r="E1078" s="31"/>
      <c r="F1078" s="31"/>
      <c r="G1078" s="31"/>
      <c r="H1078" s="31"/>
      <c r="I1078" s="31"/>
      <c r="J1078" s="31"/>
      <c r="K1078" s="31"/>
      <c r="L1078" s="31"/>
      <c r="M1078" s="31"/>
      <c r="N1078" s="33"/>
      <c r="O1078" s="31"/>
    </row>
    <row r="1079" spans="1:15" ht="15" customHeight="1">
      <c r="A1079" s="31"/>
      <c r="B1079" s="31"/>
      <c r="C1079" s="32"/>
      <c r="D1079" s="31"/>
      <c r="E1079" s="31"/>
      <c r="F1079" s="31"/>
      <c r="G1079" s="31"/>
      <c r="H1079" s="31"/>
      <c r="I1079" s="31"/>
      <c r="J1079" s="31"/>
      <c r="K1079" s="31"/>
      <c r="L1079" s="31"/>
      <c r="M1079" s="31"/>
      <c r="N1079" s="33"/>
      <c r="O1079" s="31"/>
    </row>
    <row r="1080" spans="1:15" ht="15" customHeight="1">
      <c r="A1080" s="31"/>
      <c r="B1080" s="31"/>
      <c r="C1080" s="32"/>
      <c r="D1080" s="31"/>
      <c r="E1080" s="31"/>
      <c r="F1080" s="31"/>
      <c r="G1080" s="31"/>
      <c r="H1080" s="31"/>
      <c r="I1080" s="31"/>
      <c r="J1080" s="31"/>
      <c r="K1080" s="31"/>
      <c r="L1080" s="31"/>
      <c r="M1080" s="31"/>
      <c r="N1080" s="33"/>
      <c r="O1080" s="31"/>
    </row>
    <row r="1081" spans="1:15" ht="15" customHeight="1">
      <c r="A1081" s="31"/>
      <c r="B1081" s="31"/>
      <c r="C1081" s="32"/>
      <c r="D1081" s="31"/>
      <c r="E1081" s="31"/>
      <c r="F1081" s="31"/>
      <c r="G1081" s="31"/>
      <c r="H1081" s="31"/>
      <c r="I1081" s="31"/>
      <c r="J1081" s="31"/>
      <c r="K1081" s="31"/>
      <c r="L1081" s="31"/>
      <c r="M1081" s="31"/>
      <c r="N1081" s="33"/>
      <c r="O1081" s="31"/>
    </row>
    <row r="1082" spans="1:15" ht="15" customHeight="1">
      <c r="A1082" s="31"/>
      <c r="B1082" s="31"/>
      <c r="C1082" s="32"/>
      <c r="D1082" s="31"/>
      <c r="E1082" s="31"/>
      <c r="F1082" s="31"/>
      <c r="G1082" s="31"/>
      <c r="H1082" s="31"/>
      <c r="I1082" s="31"/>
      <c r="J1082" s="31"/>
      <c r="K1082" s="31"/>
      <c r="L1082" s="31"/>
      <c r="M1082" s="31"/>
      <c r="N1082" s="33"/>
      <c r="O1082" s="31"/>
    </row>
    <row r="1083" spans="1:15" ht="15" customHeight="1">
      <c r="A1083" s="31"/>
      <c r="B1083" s="31"/>
      <c r="C1083" s="32"/>
      <c r="D1083" s="31"/>
      <c r="E1083" s="31"/>
      <c r="F1083" s="31"/>
      <c r="G1083" s="31"/>
      <c r="H1083" s="31"/>
      <c r="I1083" s="31"/>
      <c r="J1083" s="31"/>
      <c r="K1083" s="31"/>
      <c r="L1083" s="31"/>
      <c r="M1083" s="31"/>
      <c r="N1083" s="33"/>
      <c r="O1083" s="31"/>
    </row>
    <row r="1084" spans="1:15" ht="15" customHeight="1">
      <c r="A1084" s="31"/>
      <c r="B1084" s="31"/>
      <c r="C1084" s="32"/>
      <c r="D1084" s="31"/>
      <c r="E1084" s="31"/>
      <c r="F1084" s="31"/>
      <c r="G1084" s="31"/>
      <c r="H1084" s="31"/>
      <c r="I1084" s="31"/>
      <c r="J1084" s="31"/>
      <c r="K1084" s="31"/>
      <c r="L1084" s="31"/>
      <c r="M1084" s="31"/>
      <c r="N1084" s="33"/>
      <c r="O1084" s="31"/>
    </row>
    <row r="1085" spans="1:15" ht="15" customHeight="1">
      <c r="A1085" s="31"/>
      <c r="B1085" s="31"/>
      <c r="C1085" s="32"/>
      <c r="D1085" s="31"/>
      <c r="E1085" s="31"/>
      <c r="F1085" s="31"/>
      <c r="G1085" s="31"/>
      <c r="H1085" s="31"/>
      <c r="I1085" s="31"/>
      <c r="J1085" s="31"/>
      <c r="K1085" s="31"/>
      <c r="L1085" s="31"/>
      <c r="M1085" s="31"/>
      <c r="N1085" s="33"/>
      <c r="O1085" s="31"/>
    </row>
    <row r="1086" spans="1:15" ht="15" customHeight="1">
      <c r="A1086" s="31"/>
      <c r="B1086" s="31"/>
      <c r="C1086" s="32"/>
      <c r="D1086" s="31"/>
      <c r="E1086" s="31"/>
      <c r="F1086" s="31"/>
      <c r="G1086" s="31"/>
      <c r="H1086" s="31"/>
      <c r="I1086" s="31"/>
      <c r="J1086" s="31"/>
      <c r="K1086" s="31"/>
      <c r="L1086" s="31"/>
      <c r="M1086" s="31"/>
      <c r="N1086" s="33"/>
      <c r="O1086" s="31"/>
    </row>
    <row r="1087" spans="1:15" ht="15" customHeight="1">
      <c r="A1087" s="31"/>
      <c r="B1087" s="31"/>
      <c r="C1087" s="32"/>
      <c r="D1087" s="31"/>
      <c r="E1087" s="31"/>
      <c r="F1087" s="31"/>
      <c r="G1087" s="31"/>
      <c r="H1087" s="31"/>
      <c r="I1087" s="31"/>
      <c r="J1087" s="31"/>
      <c r="K1087" s="31"/>
      <c r="L1087" s="31"/>
      <c r="M1087" s="31"/>
      <c r="N1087" s="33"/>
      <c r="O1087" s="31"/>
    </row>
    <row r="1088" spans="1:15" ht="15" customHeight="1">
      <c r="A1088" s="31"/>
      <c r="B1088" s="31"/>
      <c r="C1088" s="32"/>
      <c r="D1088" s="31"/>
      <c r="E1088" s="31"/>
      <c r="F1088" s="31"/>
      <c r="G1088" s="31"/>
      <c r="H1088" s="31"/>
      <c r="I1088" s="31"/>
      <c r="J1088" s="31"/>
      <c r="K1088" s="31"/>
      <c r="L1088" s="31"/>
      <c r="M1088" s="31"/>
      <c r="N1088" s="33"/>
      <c r="O1088" s="31"/>
    </row>
    <row r="1089" spans="1:15" ht="15" customHeight="1">
      <c r="A1089" s="31"/>
      <c r="B1089" s="31"/>
      <c r="C1089" s="32"/>
      <c r="D1089" s="31"/>
      <c r="E1089" s="31"/>
      <c r="F1089" s="31"/>
      <c r="G1089" s="31"/>
      <c r="H1089" s="31"/>
      <c r="I1089" s="31"/>
      <c r="J1089" s="31"/>
      <c r="K1089" s="31"/>
      <c r="L1089" s="31"/>
      <c r="M1089" s="31"/>
      <c r="N1089" s="33"/>
      <c r="O1089" s="31"/>
    </row>
    <row r="1090" spans="1:15" ht="15" customHeight="1">
      <c r="A1090" s="31"/>
      <c r="B1090" s="31"/>
      <c r="C1090" s="32"/>
      <c r="D1090" s="31"/>
      <c r="E1090" s="31"/>
      <c r="F1090" s="31"/>
      <c r="G1090" s="31"/>
      <c r="H1090" s="31"/>
      <c r="I1090" s="31"/>
      <c r="J1090" s="31"/>
      <c r="K1090" s="31"/>
      <c r="L1090" s="31"/>
      <c r="M1090" s="31"/>
      <c r="N1090" s="33"/>
      <c r="O1090" s="31"/>
    </row>
    <row r="1091" spans="1:15" ht="15" customHeight="1">
      <c r="A1091" s="31"/>
      <c r="B1091" s="31"/>
      <c r="C1091" s="32"/>
      <c r="D1091" s="31"/>
      <c r="E1091" s="31"/>
      <c r="F1091" s="31"/>
      <c r="G1091" s="31"/>
      <c r="H1091" s="31"/>
      <c r="I1091" s="31"/>
      <c r="J1091" s="31"/>
      <c r="K1091" s="31"/>
      <c r="L1091" s="31"/>
      <c r="M1091" s="31"/>
      <c r="N1091" s="33"/>
      <c r="O1091" s="31"/>
    </row>
    <row r="1092" spans="1:15" ht="15" customHeight="1">
      <c r="A1092" s="31"/>
      <c r="B1092" s="31"/>
      <c r="C1092" s="32"/>
      <c r="D1092" s="31"/>
      <c r="E1092" s="31"/>
      <c r="F1092" s="31"/>
      <c r="G1092" s="31"/>
      <c r="H1092" s="31"/>
      <c r="I1092" s="31"/>
      <c r="J1092" s="31"/>
      <c r="K1092" s="31"/>
      <c r="L1092" s="31"/>
      <c r="M1092" s="31"/>
      <c r="N1092" s="33"/>
      <c r="O1092" s="31"/>
    </row>
    <row r="1093" spans="1:15" ht="15" customHeight="1">
      <c r="A1093" s="31"/>
      <c r="B1093" s="31"/>
      <c r="C1093" s="32"/>
      <c r="D1093" s="31"/>
      <c r="E1093" s="31"/>
      <c r="F1093" s="31"/>
      <c r="G1093" s="31"/>
      <c r="H1093" s="31"/>
      <c r="I1093" s="31"/>
      <c r="J1093" s="31"/>
      <c r="K1093" s="31"/>
      <c r="L1093" s="31"/>
      <c r="M1093" s="31"/>
      <c r="N1093" s="33"/>
      <c r="O1093" s="31"/>
    </row>
    <row r="1094" spans="1:15" ht="15" customHeight="1">
      <c r="A1094" s="31"/>
      <c r="B1094" s="31"/>
      <c r="C1094" s="32"/>
      <c r="D1094" s="31"/>
      <c r="E1094" s="31"/>
      <c r="F1094" s="31"/>
      <c r="G1094" s="31"/>
      <c r="H1094" s="31"/>
      <c r="I1094" s="31"/>
      <c r="J1094" s="31"/>
      <c r="K1094" s="31"/>
      <c r="L1094" s="31"/>
      <c r="M1094" s="31"/>
      <c r="N1094" s="33"/>
      <c r="O1094" s="31"/>
    </row>
    <row r="1095" spans="1:15" ht="15" customHeight="1">
      <c r="A1095" s="31"/>
      <c r="B1095" s="31"/>
      <c r="C1095" s="32"/>
      <c r="D1095" s="31"/>
      <c r="E1095" s="31"/>
      <c r="F1095" s="31"/>
      <c r="G1095" s="31"/>
      <c r="H1095" s="31"/>
      <c r="I1095" s="31"/>
      <c r="J1095" s="31"/>
      <c r="K1095" s="31"/>
      <c r="L1095" s="31"/>
      <c r="M1095" s="31"/>
      <c r="N1095" s="33"/>
      <c r="O1095" s="31"/>
    </row>
    <row r="1096" spans="1:15" ht="15" customHeight="1">
      <c r="A1096" s="31"/>
      <c r="B1096" s="31"/>
      <c r="C1096" s="32"/>
      <c r="D1096" s="31"/>
      <c r="E1096" s="31"/>
      <c r="F1096" s="31"/>
      <c r="G1096" s="31"/>
      <c r="H1096" s="31"/>
      <c r="I1096" s="31"/>
      <c r="J1096" s="31"/>
      <c r="K1096" s="31"/>
      <c r="L1096" s="31"/>
      <c r="M1096" s="31"/>
      <c r="N1096" s="33"/>
      <c r="O1096" s="31"/>
    </row>
    <row r="1097" spans="1:15" ht="15" customHeight="1">
      <c r="A1097" s="31"/>
      <c r="B1097" s="31"/>
      <c r="C1097" s="32"/>
      <c r="D1097" s="31"/>
      <c r="E1097" s="31"/>
      <c r="F1097" s="31"/>
      <c r="G1097" s="31"/>
      <c r="H1097" s="31"/>
      <c r="I1097" s="31"/>
      <c r="J1097" s="31"/>
      <c r="K1097" s="31"/>
      <c r="L1097" s="31"/>
      <c r="M1097" s="31"/>
      <c r="N1097" s="33"/>
      <c r="O1097" s="31"/>
    </row>
    <row r="1098" spans="1:15" ht="15" customHeight="1">
      <c r="A1098" s="31"/>
      <c r="B1098" s="31"/>
      <c r="C1098" s="32"/>
      <c r="D1098" s="31"/>
      <c r="E1098" s="31"/>
      <c r="F1098" s="31"/>
      <c r="G1098" s="31"/>
      <c r="H1098" s="31"/>
      <c r="I1098" s="31"/>
      <c r="J1098" s="31"/>
      <c r="K1098" s="31"/>
      <c r="L1098" s="31"/>
      <c r="M1098" s="31"/>
      <c r="N1098" s="33"/>
      <c r="O1098" s="31"/>
    </row>
    <row r="1099" spans="1:15" ht="15" customHeight="1">
      <c r="A1099" s="31"/>
      <c r="B1099" s="31"/>
      <c r="C1099" s="32"/>
      <c r="D1099" s="31"/>
      <c r="E1099" s="31"/>
      <c r="F1099" s="31"/>
      <c r="G1099" s="31"/>
      <c r="H1099" s="31"/>
      <c r="I1099" s="31"/>
      <c r="J1099" s="31"/>
      <c r="K1099" s="31"/>
      <c r="L1099" s="31"/>
      <c r="M1099" s="31"/>
      <c r="N1099" s="33"/>
      <c r="O1099" s="31"/>
    </row>
    <row r="1100" spans="1:15" ht="15" customHeight="1">
      <c r="A1100" s="31"/>
      <c r="B1100" s="31"/>
      <c r="C1100" s="32"/>
      <c r="D1100" s="31"/>
      <c r="E1100" s="31"/>
      <c r="F1100" s="31"/>
      <c r="G1100" s="31"/>
      <c r="H1100" s="31"/>
      <c r="I1100" s="31"/>
      <c r="J1100" s="31"/>
      <c r="K1100" s="31"/>
      <c r="L1100" s="31"/>
      <c r="M1100" s="31"/>
      <c r="N1100" s="33"/>
      <c r="O1100" s="31"/>
    </row>
    <row r="1101" spans="1:15" ht="15" customHeight="1">
      <c r="A1101" s="31"/>
      <c r="B1101" s="31"/>
      <c r="C1101" s="32"/>
      <c r="D1101" s="31"/>
      <c r="E1101" s="31"/>
      <c r="F1101" s="31"/>
      <c r="G1101" s="31"/>
      <c r="H1101" s="31"/>
      <c r="I1101" s="31"/>
      <c r="J1101" s="31"/>
      <c r="K1101" s="31"/>
      <c r="L1101" s="31"/>
      <c r="M1101" s="31"/>
      <c r="N1101" s="33"/>
      <c r="O1101" s="31"/>
    </row>
    <row r="1102" spans="1:15" ht="15" customHeight="1">
      <c r="A1102" s="31"/>
      <c r="B1102" s="31"/>
      <c r="C1102" s="32"/>
      <c r="D1102" s="31"/>
      <c r="E1102" s="31"/>
      <c r="F1102" s="31"/>
      <c r="G1102" s="31"/>
      <c r="H1102" s="31"/>
      <c r="I1102" s="31"/>
      <c r="J1102" s="31"/>
      <c r="K1102" s="31"/>
      <c r="L1102" s="31"/>
      <c r="M1102" s="31"/>
      <c r="N1102" s="33"/>
      <c r="O1102" s="31"/>
    </row>
    <row r="1103" spans="1:15" ht="15" customHeight="1">
      <c r="A1103" s="31"/>
      <c r="B1103" s="31"/>
      <c r="C1103" s="32"/>
      <c r="D1103" s="31"/>
      <c r="E1103" s="31"/>
      <c r="F1103" s="31"/>
      <c r="G1103" s="31"/>
      <c r="H1103" s="31"/>
      <c r="I1103" s="31"/>
      <c r="J1103" s="31"/>
      <c r="K1103" s="31"/>
      <c r="L1103" s="31"/>
      <c r="M1103" s="31"/>
      <c r="N1103" s="33"/>
      <c r="O1103" s="31"/>
    </row>
    <row r="1104" spans="1:15" ht="15" customHeight="1">
      <c r="A1104" s="31"/>
      <c r="B1104" s="31"/>
      <c r="C1104" s="32"/>
      <c r="D1104" s="31"/>
      <c r="E1104" s="31"/>
      <c r="F1104" s="31"/>
      <c r="G1104" s="31"/>
      <c r="H1104" s="31"/>
      <c r="I1104" s="31"/>
      <c r="J1104" s="31"/>
      <c r="K1104" s="31"/>
      <c r="L1104" s="31"/>
      <c r="M1104" s="31"/>
      <c r="N1104" s="33"/>
      <c r="O1104" s="31"/>
    </row>
    <row r="1105" spans="1:15" ht="15" customHeight="1">
      <c r="A1105" s="31"/>
      <c r="B1105" s="31"/>
      <c r="C1105" s="32"/>
      <c r="D1105" s="31"/>
      <c r="E1105" s="31"/>
      <c r="F1105" s="31"/>
      <c r="G1105" s="31"/>
      <c r="H1105" s="31"/>
      <c r="I1105" s="31"/>
      <c r="J1105" s="31"/>
      <c r="K1105" s="31"/>
      <c r="L1105" s="31"/>
      <c r="M1105" s="31"/>
      <c r="N1105" s="33"/>
      <c r="O1105" s="31"/>
    </row>
    <row r="1106" spans="1:15" ht="15" customHeight="1">
      <c r="A1106" s="31"/>
      <c r="B1106" s="31"/>
      <c r="C1106" s="32"/>
      <c r="D1106" s="31"/>
      <c r="E1106" s="31"/>
      <c r="F1106" s="31"/>
      <c r="G1106" s="31"/>
      <c r="H1106" s="31"/>
      <c r="I1106" s="31"/>
      <c r="J1106" s="31"/>
      <c r="K1106" s="31"/>
      <c r="L1106" s="31"/>
      <c r="M1106" s="31"/>
      <c r="N1106" s="33"/>
      <c r="O1106" s="31"/>
    </row>
    <row r="1107" spans="1:15" ht="15" customHeight="1">
      <c r="A1107" s="31"/>
      <c r="B1107" s="31"/>
      <c r="C1107" s="32"/>
      <c r="D1107" s="31"/>
      <c r="E1107" s="31"/>
      <c r="F1107" s="31"/>
      <c r="G1107" s="31"/>
      <c r="H1107" s="31"/>
      <c r="I1107" s="31"/>
      <c r="J1107" s="31"/>
      <c r="K1107" s="31"/>
      <c r="L1107" s="31"/>
      <c r="M1107" s="31"/>
      <c r="N1107" s="33"/>
      <c r="O1107" s="31"/>
    </row>
    <row r="1108" spans="1:15" ht="15" customHeight="1">
      <c r="A1108" s="31"/>
      <c r="B1108" s="31"/>
      <c r="C1108" s="32"/>
      <c r="D1108" s="31"/>
      <c r="E1108" s="31"/>
      <c r="F1108" s="31"/>
      <c r="G1108" s="31"/>
      <c r="H1108" s="31"/>
      <c r="I1108" s="31"/>
      <c r="J1108" s="31"/>
      <c r="K1108" s="31"/>
      <c r="L1108" s="31"/>
      <c r="M1108" s="31"/>
      <c r="N1108" s="33"/>
      <c r="O1108" s="31"/>
    </row>
    <row r="1109" spans="1:15" ht="15" customHeight="1">
      <c r="A1109" s="31"/>
      <c r="B1109" s="31"/>
      <c r="C1109" s="32"/>
      <c r="D1109" s="31"/>
      <c r="E1109" s="31"/>
      <c r="F1109" s="31"/>
      <c r="G1109" s="31"/>
      <c r="H1109" s="31"/>
      <c r="I1109" s="31"/>
      <c r="J1109" s="31"/>
      <c r="K1109" s="31"/>
      <c r="L1109" s="31"/>
      <c r="M1109" s="31"/>
      <c r="N1109" s="33"/>
      <c r="O1109" s="31"/>
    </row>
    <row r="1110" spans="1:15" ht="15" customHeight="1">
      <c r="A1110" s="31"/>
      <c r="B1110" s="31"/>
      <c r="C1110" s="32"/>
      <c r="D1110" s="31"/>
      <c r="E1110" s="31"/>
      <c r="F1110" s="31"/>
      <c r="G1110" s="31"/>
      <c r="H1110" s="31"/>
      <c r="I1110" s="31"/>
      <c r="J1110" s="31"/>
      <c r="K1110" s="31"/>
      <c r="L1110" s="31"/>
      <c r="M1110" s="31"/>
      <c r="N1110" s="33"/>
      <c r="O1110" s="31"/>
    </row>
    <row r="1111" spans="1:15" ht="15" customHeight="1">
      <c r="A1111" s="31"/>
      <c r="B1111" s="31"/>
      <c r="C1111" s="32"/>
      <c r="D1111" s="31"/>
      <c r="E1111" s="31"/>
      <c r="F1111" s="31"/>
      <c r="G1111" s="31"/>
      <c r="H1111" s="31"/>
      <c r="I1111" s="31"/>
      <c r="J1111" s="31"/>
      <c r="K1111" s="31"/>
      <c r="L1111" s="31"/>
      <c r="M1111" s="31"/>
      <c r="N1111" s="33"/>
      <c r="O1111" s="31"/>
    </row>
    <row r="1112" spans="1:15" ht="15" customHeight="1">
      <c r="A1112" s="31"/>
      <c r="B1112" s="31"/>
      <c r="C1112" s="32"/>
      <c r="D1112" s="31"/>
      <c r="E1112" s="31"/>
      <c r="F1112" s="31"/>
      <c r="G1112" s="31"/>
      <c r="H1112" s="31"/>
      <c r="I1112" s="31"/>
      <c r="J1112" s="31"/>
      <c r="K1112" s="31"/>
      <c r="L1112" s="31"/>
      <c r="M1112" s="31"/>
      <c r="N1112" s="33"/>
      <c r="O1112" s="31"/>
    </row>
    <row r="1113" spans="1:15" ht="15" customHeight="1">
      <c r="A1113" s="31"/>
      <c r="B1113" s="31"/>
      <c r="C1113" s="32"/>
      <c r="D1113" s="31"/>
      <c r="E1113" s="31"/>
      <c r="F1113" s="31"/>
      <c r="G1113" s="31"/>
      <c r="H1113" s="31"/>
      <c r="I1113" s="31"/>
      <c r="J1113" s="31"/>
      <c r="K1113" s="31"/>
      <c r="L1113" s="31"/>
      <c r="M1113" s="31"/>
      <c r="N1113" s="33"/>
      <c r="O1113" s="31"/>
    </row>
    <row r="1114" spans="1:15" ht="15" customHeight="1">
      <c r="A1114" s="31"/>
      <c r="B1114" s="31"/>
      <c r="C1114" s="32"/>
      <c r="D1114" s="31"/>
      <c r="E1114" s="31"/>
      <c r="F1114" s="31"/>
      <c r="G1114" s="31"/>
      <c r="H1114" s="31"/>
      <c r="I1114" s="31"/>
      <c r="J1114" s="31"/>
      <c r="K1114" s="31"/>
      <c r="L1114" s="31"/>
      <c r="M1114" s="31"/>
      <c r="N1114" s="33"/>
      <c r="O1114" s="31"/>
    </row>
    <row r="1115" spans="1:15" ht="15" customHeight="1">
      <c r="A1115" s="31"/>
      <c r="B1115" s="31"/>
      <c r="C1115" s="32"/>
      <c r="D1115" s="31"/>
      <c r="E1115" s="31"/>
      <c r="F1115" s="31"/>
      <c r="G1115" s="31"/>
      <c r="H1115" s="31"/>
      <c r="I1115" s="31"/>
      <c r="J1115" s="31"/>
      <c r="K1115" s="31"/>
      <c r="L1115" s="31"/>
      <c r="M1115" s="31"/>
      <c r="N1115" s="33"/>
      <c r="O1115" s="31"/>
    </row>
    <row r="1116" spans="1:15" ht="15" customHeight="1">
      <c r="A1116" s="31"/>
      <c r="B1116" s="31"/>
      <c r="C1116" s="32"/>
      <c r="D1116" s="31"/>
      <c r="E1116" s="31"/>
      <c r="F1116" s="31"/>
      <c r="G1116" s="31"/>
      <c r="H1116" s="31"/>
      <c r="I1116" s="31"/>
      <c r="J1116" s="31"/>
      <c r="K1116" s="31"/>
      <c r="L1116" s="31"/>
      <c r="M1116" s="31"/>
      <c r="N1116" s="33"/>
      <c r="O1116" s="31"/>
    </row>
    <row r="1117" spans="1:15" ht="15" customHeight="1">
      <c r="A1117" s="31"/>
      <c r="B1117" s="31"/>
      <c r="C1117" s="32"/>
      <c r="D1117" s="31"/>
      <c r="E1117" s="31"/>
      <c r="F1117" s="31"/>
      <c r="G1117" s="31"/>
      <c r="H1117" s="31"/>
      <c r="I1117" s="31"/>
      <c r="J1117" s="31"/>
      <c r="K1117" s="31"/>
      <c r="L1117" s="31"/>
      <c r="M1117" s="31"/>
      <c r="N1117" s="33"/>
      <c r="O1117" s="31"/>
    </row>
    <row r="1118" spans="1:15" ht="15" customHeight="1">
      <c r="A1118" s="31"/>
      <c r="B1118" s="31"/>
      <c r="C1118" s="32"/>
      <c r="D1118" s="31"/>
      <c r="E1118" s="31"/>
      <c r="F1118" s="31"/>
      <c r="G1118" s="31"/>
      <c r="H1118" s="31"/>
      <c r="I1118" s="31"/>
      <c r="J1118" s="31"/>
      <c r="K1118" s="31"/>
      <c r="L1118" s="31"/>
      <c r="M1118" s="31"/>
      <c r="N1118" s="33"/>
      <c r="O1118" s="31"/>
    </row>
    <row r="1119" spans="1:15" ht="15" customHeight="1">
      <c r="A1119" s="31"/>
      <c r="B1119" s="31"/>
      <c r="C1119" s="32"/>
      <c r="D1119" s="31"/>
      <c r="E1119" s="31"/>
      <c r="F1119" s="31"/>
      <c r="G1119" s="31"/>
      <c r="H1119" s="31"/>
      <c r="I1119" s="31"/>
      <c r="J1119" s="31"/>
      <c r="K1119" s="31"/>
      <c r="L1119" s="31"/>
      <c r="M1119" s="31"/>
      <c r="N1119" s="33"/>
      <c r="O1119" s="31"/>
    </row>
    <row r="1120" spans="1:15" ht="15" customHeight="1">
      <c r="A1120" s="31"/>
      <c r="B1120" s="31"/>
      <c r="C1120" s="32"/>
      <c r="D1120" s="31"/>
      <c r="E1120" s="31"/>
      <c r="F1120" s="31"/>
      <c r="G1120" s="31"/>
      <c r="H1120" s="31"/>
      <c r="I1120" s="31"/>
      <c r="J1120" s="31"/>
      <c r="K1120" s="31"/>
      <c r="L1120" s="31"/>
      <c r="M1120" s="31"/>
      <c r="N1120" s="33"/>
      <c r="O1120" s="31"/>
    </row>
    <row r="1121" spans="1:15" ht="15" customHeight="1">
      <c r="A1121" s="31"/>
      <c r="B1121" s="31"/>
      <c r="C1121" s="32"/>
      <c r="D1121" s="31"/>
      <c r="E1121" s="31"/>
      <c r="F1121" s="31"/>
      <c r="G1121" s="31"/>
      <c r="H1121" s="31"/>
      <c r="I1121" s="31"/>
      <c r="J1121" s="31"/>
      <c r="K1121" s="31"/>
      <c r="L1121" s="31"/>
      <c r="M1121" s="31"/>
      <c r="N1121" s="33"/>
      <c r="O1121" s="31"/>
    </row>
    <row r="1122" spans="1:15" ht="15" customHeight="1">
      <c r="A1122" s="31"/>
      <c r="B1122" s="31"/>
      <c r="C1122" s="32"/>
      <c r="D1122" s="31"/>
      <c r="E1122" s="31"/>
      <c r="F1122" s="31"/>
      <c r="G1122" s="31"/>
      <c r="H1122" s="31"/>
      <c r="I1122" s="31"/>
      <c r="J1122" s="31"/>
      <c r="K1122" s="31"/>
      <c r="L1122" s="31"/>
      <c r="M1122" s="31"/>
      <c r="N1122" s="33"/>
      <c r="O1122" s="31"/>
    </row>
    <row r="1123" spans="1:15" ht="15" customHeight="1">
      <c r="A1123" s="31"/>
      <c r="B1123" s="31"/>
      <c r="C1123" s="32"/>
      <c r="D1123" s="31"/>
      <c r="E1123" s="31"/>
      <c r="F1123" s="31"/>
      <c r="G1123" s="31"/>
      <c r="H1123" s="31"/>
      <c r="I1123" s="31"/>
      <c r="J1123" s="31"/>
      <c r="K1123" s="31"/>
      <c r="L1123" s="31"/>
      <c r="M1123" s="31"/>
      <c r="N1123" s="33"/>
      <c r="O1123" s="31"/>
    </row>
    <row r="1124" spans="1:15" ht="15" customHeight="1">
      <c r="A1124" s="31"/>
      <c r="B1124" s="31"/>
      <c r="C1124" s="32"/>
      <c r="D1124" s="31"/>
      <c r="E1124" s="31"/>
      <c r="F1124" s="31"/>
      <c r="G1124" s="31"/>
      <c r="H1124" s="31"/>
      <c r="I1124" s="31"/>
      <c r="J1124" s="31"/>
      <c r="K1124" s="31"/>
      <c r="L1124" s="31"/>
      <c r="M1124" s="31"/>
      <c r="N1124" s="33"/>
      <c r="O1124" s="31"/>
    </row>
    <row r="1125" spans="1:15" ht="15" customHeight="1">
      <c r="A1125" s="31"/>
      <c r="B1125" s="31"/>
      <c r="C1125" s="32"/>
      <c r="D1125" s="31"/>
      <c r="E1125" s="31"/>
      <c r="F1125" s="31"/>
      <c r="G1125" s="31"/>
      <c r="H1125" s="31"/>
      <c r="I1125" s="31"/>
      <c r="J1125" s="31"/>
      <c r="K1125" s="31"/>
      <c r="L1125" s="31"/>
      <c r="M1125" s="31"/>
      <c r="N1125" s="33"/>
      <c r="O1125" s="31"/>
    </row>
    <row r="1126" spans="1:15" ht="15" customHeight="1">
      <c r="A1126" s="31"/>
      <c r="B1126" s="31"/>
      <c r="C1126" s="32"/>
      <c r="D1126" s="31"/>
      <c r="E1126" s="31"/>
      <c r="F1126" s="31"/>
      <c r="G1126" s="31"/>
      <c r="H1126" s="31"/>
      <c r="I1126" s="31"/>
      <c r="J1126" s="31"/>
      <c r="K1126" s="31"/>
      <c r="L1126" s="31"/>
      <c r="M1126" s="31"/>
      <c r="N1126" s="33"/>
      <c r="O1126" s="31"/>
    </row>
    <row r="1127" spans="1:15" ht="15" customHeight="1">
      <c r="A1127" s="31"/>
      <c r="B1127" s="31"/>
      <c r="C1127" s="32"/>
      <c r="D1127" s="31"/>
      <c r="E1127" s="31"/>
      <c r="F1127" s="31"/>
      <c r="G1127" s="31"/>
      <c r="H1127" s="31"/>
      <c r="I1127" s="31"/>
      <c r="J1127" s="31"/>
      <c r="K1127" s="31"/>
      <c r="L1127" s="31"/>
      <c r="M1127" s="31"/>
      <c r="N1127" s="33"/>
      <c r="O1127" s="31"/>
    </row>
    <row r="1128" spans="1:15" ht="15" customHeight="1">
      <c r="A1128" s="31"/>
      <c r="B1128" s="31"/>
      <c r="C1128" s="32"/>
      <c r="D1128" s="31"/>
      <c r="E1128" s="31"/>
      <c r="F1128" s="31"/>
      <c r="G1128" s="31"/>
      <c r="H1128" s="31"/>
      <c r="I1128" s="31"/>
      <c r="J1128" s="31"/>
      <c r="K1128" s="31"/>
      <c r="L1128" s="31"/>
      <c r="M1128" s="31"/>
      <c r="N1128" s="33"/>
      <c r="O1128" s="31"/>
    </row>
    <row r="1129" spans="1:15" ht="15" customHeight="1">
      <c r="A1129" s="31"/>
      <c r="B1129" s="31"/>
      <c r="C1129" s="32"/>
      <c r="D1129" s="31"/>
      <c r="E1129" s="31"/>
      <c r="F1129" s="31"/>
      <c r="G1129" s="31"/>
      <c r="H1129" s="31"/>
      <c r="I1129" s="31"/>
      <c r="J1129" s="31"/>
      <c r="K1129" s="31"/>
      <c r="L1129" s="31"/>
      <c r="M1129" s="31"/>
      <c r="N1129" s="33"/>
      <c r="O1129" s="31"/>
    </row>
    <row r="1130" spans="1:15" ht="15" customHeight="1">
      <c r="A1130" s="31"/>
      <c r="B1130" s="31"/>
      <c r="C1130" s="32"/>
      <c r="D1130" s="31"/>
      <c r="E1130" s="31"/>
      <c r="F1130" s="31"/>
      <c r="G1130" s="31"/>
      <c r="H1130" s="31"/>
      <c r="I1130" s="31"/>
      <c r="J1130" s="31"/>
      <c r="K1130" s="31"/>
      <c r="L1130" s="31"/>
      <c r="M1130" s="31"/>
      <c r="N1130" s="33"/>
      <c r="O1130" s="31"/>
    </row>
    <row r="1131" spans="1:15" ht="15" customHeight="1">
      <c r="A1131" s="31"/>
      <c r="B1131" s="31"/>
      <c r="C1131" s="32"/>
      <c r="D1131" s="31"/>
      <c r="E1131" s="31"/>
      <c r="F1131" s="31"/>
      <c r="G1131" s="31"/>
      <c r="H1131" s="31"/>
      <c r="I1131" s="31"/>
      <c r="J1131" s="31"/>
      <c r="K1131" s="31"/>
      <c r="L1131" s="31"/>
      <c r="M1131" s="31"/>
      <c r="N1131" s="33"/>
      <c r="O1131" s="31"/>
    </row>
    <row r="1132" spans="1:15" ht="15" customHeight="1">
      <c r="A1132" s="31"/>
      <c r="B1132" s="31"/>
      <c r="C1132" s="32"/>
      <c r="D1132" s="31"/>
      <c r="E1132" s="31"/>
      <c r="F1132" s="31"/>
      <c r="G1132" s="31"/>
      <c r="H1132" s="31"/>
      <c r="I1132" s="31"/>
      <c r="J1132" s="31"/>
      <c r="K1132" s="31"/>
      <c r="L1132" s="31"/>
      <c r="M1132" s="31"/>
      <c r="N1132" s="33"/>
      <c r="O1132" s="31"/>
    </row>
    <row r="1133" spans="1:15" ht="15" customHeight="1">
      <c r="A1133" s="31"/>
      <c r="B1133" s="31"/>
      <c r="C1133" s="32"/>
      <c r="D1133" s="31"/>
      <c r="E1133" s="31"/>
      <c r="F1133" s="31"/>
      <c r="G1133" s="31"/>
      <c r="H1133" s="31"/>
      <c r="I1133" s="31"/>
      <c r="J1133" s="31"/>
      <c r="K1133" s="31"/>
      <c r="L1133" s="31"/>
      <c r="M1133" s="31"/>
      <c r="N1133" s="33"/>
      <c r="O1133" s="31"/>
    </row>
    <row r="1134" spans="1:15" ht="15" customHeight="1">
      <c r="A1134" s="31"/>
      <c r="B1134" s="31"/>
      <c r="C1134" s="32"/>
      <c r="D1134" s="31"/>
      <c r="E1134" s="31"/>
      <c r="F1134" s="31"/>
      <c r="G1134" s="31"/>
      <c r="H1134" s="31"/>
      <c r="I1134" s="31"/>
      <c r="J1134" s="31"/>
      <c r="K1134" s="31"/>
      <c r="L1134" s="31"/>
      <c r="M1134" s="31"/>
      <c r="N1134" s="33"/>
      <c r="O1134" s="31"/>
    </row>
    <row r="1135" spans="1:15" ht="15" customHeight="1">
      <c r="A1135" s="31"/>
      <c r="B1135" s="31"/>
      <c r="C1135" s="32"/>
      <c r="D1135" s="31"/>
      <c r="E1135" s="31"/>
      <c r="F1135" s="31"/>
      <c r="G1135" s="31"/>
      <c r="H1135" s="31"/>
      <c r="I1135" s="31"/>
      <c r="J1135" s="31"/>
      <c r="K1135" s="31"/>
      <c r="L1135" s="31"/>
      <c r="M1135" s="31"/>
      <c r="N1135" s="33"/>
      <c r="O1135" s="31"/>
    </row>
    <row r="1136" spans="1:15" ht="15" customHeight="1">
      <c r="A1136" s="31"/>
      <c r="B1136" s="31"/>
      <c r="C1136" s="32"/>
      <c r="D1136" s="31"/>
      <c r="E1136" s="31"/>
      <c r="F1136" s="31"/>
      <c r="G1136" s="31"/>
      <c r="H1136" s="31"/>
      <c r="I1136" s="31"/>
      <c r="J1136" s="31"/>
      <c r="K1136" s="31"/>
      <c r="L1136" s="31"/>
      <c r="M1136" s="31"/>
      <c r="N1136" s="33"/>
      <c r="O1136" s="31"/>
    </row>
    <row r="1137" spans="1:15" ht="15" customHeight="1">
      <c r="A1137" s="31"/>
      <c r="B1137" s="31"/>
      <c r="C1137" s="32"/>
      <c r="D1137" s="31"/>
      <c r="E1137" s="31"/>
      <c r="F1137" s="31"/>
      <c r="G1137" s="31"/>
      <c r="H1137" s="31"/>
      <c r="I1137" s="31"/>
      <c r="J1137" s="31"/>
      <c r="K1137" s="31"/>
      <c r="L1137" s="31"/>
      <c r="M1137" s="31"/>
      <c r="N1137" s="33"/>
      <c r="O1137" s="31"/>
    </row>
    <row r="1138" spans="1:15" ht="15" customHeight="1">
      <c r="A1138" s="31"/>
      <c r="B1138" s="31"/>
      <c r="C1138" s="32"/>
      <c r="D1138" s="31"/>
      <c r="E1138" s="31"/>
      <c r="F1138" s="31"/>
      <c r="G1138" s="31"/>
      <c r="H1138" s="31"/>
      <c r="I1138" s="31"/>
      <c r="J1138" s="31"/>
      <c r="K1138" s="31"/>
      <c r="L1138" s="31"/>
      <c r="M1138" s="31"/>
      <c r="N1138" s="33"/>
      <c r="O1138" s="31"/>
    </row>
    <row r="1139" spans="1:15" ht="15" customHeight="1">
      <c r="A1139" s="31"/>
      <c r="B1139" s="31"/>
      <c r="C1139" s="32"/>
      <c r="D1139" s="31"/>
      <c r="E1139" s="31"/>
      <c r="F1139" s="31"/>
      <c r="G1139" s="31"/>
      <c r="H1139" s="31"/>
      <c r="I1139" s="31"/>
      <c r="J1139" s="31"/>
      <c r="K1139" s="31"/>
      <c r="L1139" s="31"/>
      <c r="M1139" s="31"/>
      <c r="N1139" s="33"/>
      <c r="O1139" s="31"/>
    </row>
    <row r="1140" spans="1:15" ht="15" customHeight="1">
      <c r="A1140" s="31"/>
      <c r="B1140" s="31"/>
      <c r="C1140" s="32"/>
      <c r="D1140" s="31"/>
      <c r="E1140" s="31"/>
      <c r="F1140" s="31"/>
      <c r="G1140" s="31"/>
      <c r="H1140" s="31"/>
      <c r="I1140" s="31"/>
      <c r="J1140" s="31"/>
      <c r="K1140" s="31"/>
      <c r="L1140" s="31"/>
      <c r="M1140" s="31"/>
      <c r="N1140" s="33"/>
      <c r="O1140" s="31"/>
    </row>
    <row r="1141" spans="1:15" ht="15" customHeight="1">
      <c r="A1141" s="31"/>
      <c r="B1141" s="31"/>
      <c r="C1141" s="32"/>
      <c r="D1141" s="31"/>
      <c r="E1141" s="31"/>
      <c r="F1141" s="31"/>
      <c r="G1141" s="31"/>
      <c r="H1141" s="31"/>
      <c r="I1141" s="31"/>
      <c r="J1141" s="31"/>
      <c r="K1141" s="31"/>
      <c r="L1141" s="31"/>
      <c r="M1141" s="31"/>
      <c r="N1141" s="33"/>
      <c r="O1141" s="31"/>
    </row>
    <row r="1142" spans="1:15" ht="15" customHeight="1">
      <c r="A1142" s="31"/>
      <c r="B1142" s="31"/>
      <c r="C1142" s="32"/>
      <c r="D1142" s="31"/>
      <c r="E1142" s="31"/>
      <c r="F1142" s="31"/>
      <c r="G1142" s="31"/>
      <c r="H1142" s="31"/>
      <c r="I1142" s="31"/>
      <c r="J1142" s="31"/>
      <c r="K1142" s="31"/>
      <c r="L1142" s="31"/>
      <c r="M1142" s="31"/>
      <c r="N1142" s="33"/>
      <c r="O1142" s="31"/>
    </row>
    <row r="1143" spans="1:15" ht="15" customHeight="1">
      <c r="A1143" s="31"/>
      <c r="B1143" s="31"/>
      <c r="C1143" s="32"/>
      <c r="D1143" s="31"/>
      <c r="E1143" s="31"/>
      <c r="F1143" s="31"/>
      <c r="G1143" s="31"/>
      <c r="H1143" s="31"/>
      <c r="I1143" s="31"/>
      <c r="J1143" s="31"/>
      <c r="K1143" s="31"/>
      <c r="L1143" s="31"/>
      <c r="M1143" s="31"/>
      <c r="N1143" s="33"/>
      <c r="O1143" s="31"/>
    </row>
    <row r="1144" spans="1:15" ht="15" customHeight="1">
      <c r="A1144" s="31"/>
      <c r="B1144" s="31"/>
      <c r="C1144" s="32"/>
      <c r="D1144" s="31"/>
      <c r="E1144" s="31"/>
      <c r="F1144" s="31"/>
      <c r="G1144" s="31"/>
      <c r="H1144" s="31"/>
      <c r="I1144" s="31"/>
      <c r="J1144" s="31"/>
      <c r="K1144" s="31"/>
      <c r="L1144" s="31"/>
      <c r="M1144" s="31"/>
      <c r="N1144" s="33"/>
      <c r="O1144" s="31"/>
    </row>
    <row r="1145" spans="1:15" ht="15" customHeight="1">
      <c r="A1145" s="31"/>
      <c r="B1145" s="31"/>
      <c r="C1145" s="32"/>
      <c r="D1145" s="31"/>
      <c r="E1145" s="31"/>
      <c r="F1145" s="31"/>
      <c r="G1145" s="31"/>
      <c r="H1145" s="31"/>
      <c r="I1145" s="31"/>
      <c r="J1145" s="31"/>
      <c r="K1145" s="31"/>
      <c r="L1145" s="31"/>
      <c r="M1145" s="31"/>
      <c r="N1145" s="33"/>
      <c r="O1145" s="31"/>
    </row>
    <row r="1146" spans="1:15" ht="15" customHeight="1">
      <c r="A1146" s="31"/>
      <c r="B1146" s="31"/>
      <c r="C1146" s="32"/>
      <c r="D1146" s="31"/>
      <c r="E1146" s="31"/>
      <c r="F1146" s="31"/>
      <c r="G1146" s="31"/>
      <c r="H1146" s="31"/>
      <c r="I1146" s="31"/>
      <c r="J1146" s="31"/>
      <c r="K1146" s="31"/>
      <c r="L1146" s="31"/>
      <c r="M1146" s="31"/>
      <c r="N1146" s="33"/>
      <c r="O1146" s="31"/>
    </row>
    <row r="1147" spans="1:15" ht="15" customHeight="1">
      <c r="A1147" s="31"/>
      <c r="B1147" s="31"/>
      <c r="C1147" s="32"/>
      <c r="D1147" s="31"/>
      <c r="E1147" s="31"/>
      <c r="F1147" s="31"/>
      <c r="G1147" s="31"/>
      <c r="H1147" s="31"/>
      <c r="I1147" s="31"/>
      <c r="J1147" s="31"/>
      <c r="K1147" s="31"/>
      <c r="L1147" s="31"/>
      <c r="M1147" s="31"/>
      <c r="N1147" s="33"/>
      <c r="O1147" s="31"/>
    </row>
    <row r="1148" spans="1:15" ht="15" customHeight="1">
      <c r="A1148" s="31"/>
      <c r="B1148" s="31"/>
      <c r="C1148" s="32"/>
      <c r="D1148" s="31"/>
      <c r="E1148" s="31"/>
      <c r="F1148" s="31"/>
      <c r="G1148" s="31"/>
      <c r="H1148" s="31"/>
      <c r="I1148" s="31"/>
      <c r="J1148" s="31"/>
      <c r="K1148" s="31"/>
      <c r="L1148" s="31"/>
      <c r="M1148" s="31"/>
      <c r="N1148" s="33"/>
      <c r="O1148" s="31"/>
    </row>
    <row r="1149" spans="1:15" ht="15" customHeight="1">
      <c r="A1149" s="31"/>
      <c r="B1149" s="31"/>
      <c r="C1149" s="32"/>
      <c r="D1149" s="31"/>
      <c r="E1149" s="31"/>
      <c r="F1149" s="31"/>
      <c r="G1149" s="31"/>
      <c r="H1149" s="31"/>
      <c r="I1149" s="31"/>
      <c r="J1149" s="31"/>
      <c r="K1149" s="31"/>
      <c r="L1149" s="31"/>
      <c r="M1149" s="31"/>
      <c r="N1149" s="33"/>
      <c r="O1149" s="31"/>
    </row>
    <row r="1150" spans="1:15" ht="15" customHeight="1">
      <c r="A1150" s="31"/>
      <c r="B1150" s="31"/>
      <c r="C1150" s="32"/>
      <c r="D1150" s="31"/>
      <c r="E1150" s="31"/>
      <c r="F1150" s="31"/>
      <c r="G1150" s="31"/>
      <c r="H1150" s="31"/>
      <c r="I1150" s="31"/>
      <c r="J1150" s="31"/>
      <c r="K1150" s="31"/>
      <c r="L1150" s="31"/>
      <c r="M1150" s="31"/>
      <c r="N1150" s="33"/>
      <c r="O1150" s="31"/>
    </row>
    <row r="1151" spans="1:15" ht="15" customHeight="1">
      <c r="A1151" s="31"/>
      <c r="B1151" s="31"/>
      <c r="C1151" s="32"/>
      <c r="D1151" s="31"/>
      <c r="E1151" s="31"/>
      <c r="F1151" s="31"/>
      <c r="G1151" s="31"/>
      <c r="H1151" s="31"/>
      <c r="I1151" s="31"/>
      <c r="J1151" s="31"/>
      <c r="K1151" s="31"/>
      <c r="L1151" s="31"/>
      <c r="M1151" s="31"/>
      <c r="N1151" s="33"/>
      <c r="O1151" s="31"/>
    </row>
    <row r="1152" spans="1:15" ht="15" customHeight="1">
      <c r="A1152" s="31"/>
      <c r="B1152" s="31"/>
      <c r="C1152" s="32"/>
      <c r="D1152" s="31"/>
      <c r="E1152" s="31"/>
      <c r="F1152" s="31"/>
      <c r="G1152" s="31"/>
      <c r="H1152" s="31"/>
      <c r="I1152" s="31"/>
      <c r="J1152" s="31"/>
      <c r="K1152" s="31"/>
      <c r="L1152" s="31"/>
      <c r="M1152" s="31"/>
      <c r="N1152" s="33"/>
      <c r="O1152" s="31"/>
    </row>
    <row r="1153" spans="1:15" ht="15" customHeight="1">
      <c r="A1153" s="31"/>
      <c r="B1153" s="31"/>
      <c r="C1153" s="32"/>
      <c r="D1153" s="31"/>
      <c r="E1153" s="31"/>
      <c r="F1153" s="31"/>
      <c r="G1153" s="31"/>
      <c r="H1153" s="31"/>
      <c r="I1153" s="31"/>
      <c r="J1153" s="31"/>
      <c r="K1153" s="31"/>
      <c r="L1153" s="31"/>
      <c r="M1153" s="31"/>
      <c r="N1153" s="33"/>
      <c r="O1153" s="31"/>
    </row>
    <row r="1154" spans="1:15" ht="15" customHeight="1">
      <c r="A1154" s="31"/>
      <c r="B1154" s="31"/>
      <c r="C1154" s="32"/>
      <c r="D1154" s="31"/>
      <c r="E1154" s="31"/>
      <c r="F1154" s="31"/>
      <c r="G1154" s="31"/>
      <c r="H1154" s="31"/>
      <c r="I1154" s="31"/>
      <c r="J1154" s="31"/>
      <c r="K1154" s="31"/>
      <c r="L1154" s="31"/>
      <c r="M1154" s="31"/>
      <c r="N1154" s="33"/>
      <c r="O1154" s="31"/>
    </row>
    <row r="1155" spans="1:15" ht="15" customHeight="1">
      <c r="A1155" s="31"/>
      <c r="B1155" s="31"/>
      <c r="C1155" s="32"/>
      <c r="D1155" s="31"/>
      <c r="E1155" s="31"/>
      <c r="F1155" s="31"/>
      <c r="G1155" s="31"/>
      <c r="H1155" s="31"/>
      <c r="I1155" s="31"/>
      <c r="J1155" s="31"/>
      <c r="K1155" s="31"/>
      <c r="L1155" s="31"/>
      <c r="M1155" s="31"/>
      <c r="N1155" s="33"/>
      <c r="O1155" s="31"/>
    </row>
    <row r="1156" spans="1:15" ht="15" customHeight="1">
      <c r="A1156" s="31"/>
      <c r="B1156" s="31"/>
      <c r="C1156" s="32"/>
      <c r="D1156" s="31"/>
      <c r="E1156" s="31"/>
      <c r="F1156" s="31"/>
      <c r="G1156" s="31"/>
      <c r="H1156" s="31"/>
      <c r="I1156" s="31"/>
      <c r="J1156" s="31"/>
      <c r="K1156" s="31"/>
      <c r="L1156" s="31"/>
      <c r="M1156" s="31"/>
      <c r="N1156" s="33"/>
      <c r="O1156" s="31"/>
    </row>
    <row r="1157" spans="1:15" ht="15" customHeight="1">
      <c r="A1157" s="31"/>
      <c r="B1157" s="31"/>
      <c r="C1157" s="32"/>
      <c r="D1157" s="31"/>
      <c r="E1157" s="31"/>
      <c r="F1157" s="31"/>
      <c r="G1157" s="31"/>
      <c r="H1157" s="31"/>
      <c r="I1157" s="31"/>
      <c r="J1157" s="31"/>
      <c r="K1157" s="31"/>
      <c r="L1157" s="31"/>
      <c r="M1157" s="31"/>
      <c r="N1157" s="33"/>
      <c r="O1157" s="31"/>
    </row>
    <row r="1158" spans="1:15" ht="15" customHeight="1">
      <c r="A1158" s="31"/>
      <c r="B1158" s="31"/>
      <c r="C1158" s="32"/>
      <c r="D1158" s="31"/>
      <c r="E1158" s="31"/>
      <c r="F1158" s="31"/>
      <c r="G1158" s="31"/>
      <c r="H1158" s="31"/>
      <c r="I1158" s="31"/>
      <c r="J1158" s="31"/>
      <c r="K1158" s="31"/>
      <c r="L1158" s="31"/>
      <c r="M1158" s="31"/>
      <c r="N1158" s="33"/>
      <c r="O1158" s="31"/>
    </row>
    <row r="1159" spans="1:15" ht="15" customHeight="1">
      <c r="A1159" s="31"/>
      <c r="B1159" s="31"/>
      <c r="C1159" s="32"/>
      <c r="D1159" s="31"/>
      <c r="E1159" s="31"/>
      <c r="F1159" s="31"/>
      <c r="G1159" s="31"/>
      <c r="H1159" s="31"/>
      <c r="I1159" s="31"/>
      <c r="J1159" s="31"/>
      <c r="K1159" s="31"/>
      <c r="L1159" s="31"/>
      <c r="M1159" s="31"/>
      <c r="N1159" s="33"/>
      <c r="O1159" s="31"/>
    </row>
    <row r="1160" spans="1:15" ht="15" customHeight="1">
      <c r="A1160" s="31"/>
      <c r="B1160" s="31"/>
      <c r="C1160" s="32"/>
      <c r="D1160" s="31"/>
      <c r="E1160" s="31"/>
      <c r="F1160" s="31"/>
      <c r="G1160" s="31"/>
      <c r="H1160" s="31"/>
      <c r="I1160" s="31"/>
      <c r="J1160" s="31"/>
      <c r="K1160" s="31"/>
      <c r="L1160" s="31"/>
      <c r="M1160" s="31"/>
      <c r="N1160" s="33"/>
      <c r="O1160" s="31"/>
    </row>
    <row r="1161" spans="1:15" ht="15" customHeight="1">
      <c r="A1161" s="31"/>
      <c r="B1161" s="31"/>
      <c r="C1161" s="32"/>
      <c r="D1161" s="31"/>
      <c r="E1161" s="31"/>
      <c r="F1161" s="31"/>
      <c r="G1161" s="31"/>
      <c r="H1161" s="31"/>
      <c r="I1161" s="31"/>
      <c r="J1161" s="31"/>
      <c r="K1161" s="31"/>
      <c r="L1161" s="31"/>
      <c r="M1161" s="31"/>
      <c r="N1161" s="33"/>
      <c r="O1161" s="31"/>
    </row>
    <row r="1162" spans="1:15" ht="15" customHeight="1">
      <c r="A1162" s="31"/>
      <c r="B1162" s="31"/>
      <c r="C1162" s="32"/>
      <c r="D1162" s="31"/>
      <c r="E1162" s="31"/>
      <c r="F1162" s="31"/>
      <c r="G1162" s="31"/>
      <c r="H1162" s="31"/>
      <c r="I1162" s="31"/>
      <c r="J1162" s="31"/>
      <c r="K1162" s="31"/>
      <c r="L1162" s="31"/>
      <c r="M1162" s="31"/>
      <c r="N1162" s="33"/>
      <c r="O1162" s="31"/>
    </row>
    <row r="1163" spans="1:15" ht="15" customHeight="1">
      <c r="A1163" s="31"/>
      <c r="B1163" s="31"/>
      <c r="C1163" s="32"/>
      <c r="D1163" s="31"/>
      <c r="E1163" s="31"/>
      <c r="F1163" s="31"/>
      <c r="G1163" s="31"/>
      <c r="H1163" s="31"/>
      <c r="I1163" s="31"/>
      <c r="J1163" s="31"/>
      <c r="K1163" s="31"/>
      <c r="L1163" s="31"/>
      <c r="M1163" s="31"/>
      <c r="N1163" s="33"/>
      <c r="O1163" s="31"/>
    </row>
    <row r="1164" spans="1:15" ht="15" customHeight="1">
      <c r="A1164" s="31"/>
      <c r="B1164" s="31"/>
      <c r="C1164" s="32"/>
      <c r="D1164" s="31"/>
      <c r="E1164" s="31"/>
      <c r="F1164" s="31"/>
      <c r="G1164" s="31"/>
      <c r="H1164" s="31"/>
      <c r="I1164" s="31"/>
      <c r="J1164" s="31"/>
      <c r="K1164" s="31"/>
      <c r="L1164" s="31"/>
      <c r="M1164" s="31"/>
      <c r="N1164" s="33"/>
      <c r="O1164" s="31"/>
    </row>
    <row r="1165" spans="1:15" ht="15" customHeight="1">
      <c r="A1165" s="31"/>
      <c r="B1165" s="31"/>
      <c r="C1165" s="32"/>
      <c r="D1165" s="31"/>
      <c r="E1165" s="31"/>
      <c r="F1165" s="31"/>
      <c r="G1165" s="31"/>
      <c r="H1165" s="31"/>
      <c r="I1165" s="31"/>
      <c r="J1165" s="31"/>
      <c r="K1165" s="31"/>
      <c r="L1165" s="31"/>
      <c r="M1165" s="31"/>
      <c r="N1165" s="33"/>
      <c r="O1165" s="31"/>
    </row>
    <row r="1166" spans="1:15" ht="15" customHeight="1">
      <c r="A1166" s="31"/>
      <c r="B1166" s="31"/>
      <c r="C1166" s="32"/>
      <c r="D1166" s="31"/>
      <c r="E1166" s="31"/>
      <c r="F1166" s="31"/>
      <c r="G1166" s="31"/>
      <c r="H1166" s="31"/>
      <c r="I1166" s="31"/>
      <c r="J1166" s="31"/>
      <c r="K1166" s="31"/>
      <c r="L1166" s="31"/>
      <c r="M1166" s="31"/>
      <c r="N1166" s="33"/>
      <c r="O1166" s="31"/>
    </row>
    <row r="1167" spans="1:15" ht="15" customHeight="1">
      <c r="A1167" s="31"/>
      <c r="B1167" s="31"/>
      <c r="C1167" s="32"/>
      <c r="D1167" s="31"/>
      <c r="E1167" s="31"/>
      <c r="F1167" s="31"/>
      <c r="G1167" s="31"/>
      <c r="H1167" s="31"/>
      <c r="I1167" s="31"/>
      <c r="J1167" s="31"/>
      <c r="K1167" s="31"/>
      <c r="L1167" s="31"/>
      <c r="M1167" s="31"/>
      <c r="N1167" s="33"/>
      <c r="O1167" s="31"/>
    </row>
    <row r="1168" spans="1:15" ht="15" customHeight="1">
      <c r="A1168" s="31"/>
      <c r="B1168" s="31"/>
      <c r="C1168" s="32"/>
      <c r="D1168" s="31"/>
      <c r="E1168" s="31"/>
      <c r="F1168" s="31"/>
      <c r="G1168" s="31"/>
      <c r="H1168" s="31"/>
      <c r="I1168" s="31"/>
      <c r="J1168" s="31"/>
      <c r="K1168" s="31"/>
      <c r="L1168" s="31"/>
      <c r="M1168" s="31"/>
      <c r="N1168" s="33"/>
      <c r="O1168" s="31"/>
    </row>
    <row r="1169" spans="1:15" ht="15" customHeight="1">
      <c r="A1169" s="31"/>
      <c r="B1169" s="31"/>
      <c r="C1169" s="32"/>
      <c r="D1169" s="31"/>
      <c r="E1169" s="31"/>
      <c r="F1169" s="31"/>
      <c r="G1169" s="31"/>
      <c r="H1169" s="31"/>
      <c r="I1169" s="31"/>
      <c r="J1169" s="31"/>
      <c r="K1169" s="31"/>
      <c r="L1169" s="31"/>
      <c r="M1169" s="31"/>
      <c r="N1169" s="33"/>
      <c r="O1169" s="31"/>
    </row>
    <row r="1170" spans="1:15" ht="15" customHeight="1">
      <c r="A1170" s="31"/>
      <c r="B1170" s="31"/>
      <c r="C1170" s="32"/>
      <c r="D1170" s="31"/>
      <c r="E1170" s="31"/>
      <c r="F1170" s="31"/>
      <c r="G1170" s="31"/>
      <c r="H1170" s="31"/>
      <c r="I1170" s="31"/>
      <c r="J1170" s="31"/>
      <c r="K1170" s="31"/>
      <c r="L1170" s="31"/>
      <c r="M1170" s="31"/>
      <c r="N1170" s="33"/>
      <c r="O1170" s="31"/>
    </row>
    <row r="1171" spans="1:15" ht="15" customHeight="1">
      <c r="A1171" s="31"/>
      <c r="B1171" s="31"/>
      <c r="C1171" s="32"/>
      <c r="D1171" s="31"/>
      <c r="E1171" s="31"/>
      <c r="F1171" s="31"/>
      <c r="G1171" s="31"/>
      <c r="H1171" s="31"/>
      <c r="I1171" s="31"/>
      <c r="J1171" s="31"/>
      <c r="K1171" s="31"/>
      <c r="L1171" s="31"/>
      <c r="M1171" s="31"/>
      <c r="N1171" s="33"/>
      <c r="O1171" s="31"/>
    </row>
    <row r="1172" spans="1:15" ht="15" customHeight="1">
      <c r="A1172" s="31"/>
      <c r="B1172" s="31"/>
      <c r="C1172" s="32"/>
      <c r="D1172" s="31"/>
      <c r="E1172" s="31"/>
      <c r="F1172" s="31"/>
      <c r="G1172" s="31"/>
      <c r="H1172" s="31"/>
      <c r="I1172" s="31"/>
      <c r="J1172" s="31"/>
      <c r="K1172" s="31"/>
      <c r="L1172" s="31"/>
      <c r="M1172" s="31"/>
      <c r="N1172" s="33"/>
      <c r="O1172" s="31"/>
    </row>
    <row r="1173" spans="1:15" ht="15" customHeight="1">
      <c r="A1173" s="31"/>
      <c r="B1173" s="31"/>
      <c r="C1173" s="32"/>
      <c r="D1173" s="31"/>
      <c r="E1173" s="31"/>
      <c r="F1173" s="31"/>
      <c r="G1173" s="31"/>
      <c r="H1173" s="31"/>
      <c r="I1173" s="31"/>
      <c r="J1173" s="31"/>
      <c r="K1173" s="31"/>
      <c r="L1173" s="31"/>
      <c r="M1173" s="31"/>
      <c r="N1173" s="33"/>
      <c r="O1173" s="31"/>
    </row>
    <row r="1174" spans="1:15" ht="15" customHeight="1">
      <c r="A1174" s="31"/>
      <c r="B1174" s="31"/>
      <c r="C1174" s="32"/>
      <c r="D1174" s="31"/>
      <c r="E1174" s="31"/>
      <c r="F1174" s="31"/>
      <c r="G1174" s="31"/>
      <c r="H1174" s="31"/>
      <c r="I1174" s="31"/>
      <c r="J1174" s="31"/>
      <c r="K1174" s="31"/>
      <c r="L1174" s="31"/>
      <c r="M1174" s="31"/>
      <c r="N1174" s="33"/>
      <c r="O1174" s="31"/>
    </row>
    <row r="1175" spans="1:15" ht="15" customHeight="1">
      <c r="A1175" s="31"/>
      <c r="B1175" s="31"/>
      <c r="C1175" s="32"/>
      <c r="D1175" s="31"/>
      <c r="E1175" s="31"/>
      <c r="F1175" s="31"/>
      <c r="G1175" s="31"/>
      <c r="H1175" s="31"/>
      <c r="I1175" s="31"/>
      <c r="J1175" s="31"/>
      <c r="K1175" s="31"/>
      <c r="L1175" s="31"/>
      <c r="M1175" s="31"/>
      <c r="N1175" s="33"/>
      <c r="O1175" s="31"/>
    </row>
    <row r="1176" spans="1:15" ht="15" customHeight="1">
      <c r="A1176" s="31"/>
      <c r="B1176" s="31"/>
      <c r="C1176" s="32"/>
      <c r="D1176" s="31"/>
      <c r="E1176" s="31"/>
      <c r="F1176" s="31"/>
      <c r="G1176" s="31"/>
      <c r="H1176" s="31"/>
      <c r="I1176" s="31"/>
      <c r="J1176" s="31"/>
      <c r="K1176" s="31"/>
      <c r="L1176" s="31"/>
      <c r="M1176" s="31"/>
      <c r="N1176" s="33"/>
      <c r="O1176" s="31"/>
    </row>
    <row r="1177" spans="1:15" ht="15" customHeight="1">
      <c r="A1177" s="31"/>
      <c r="B1177" s="31"/>
      <c r="C1177" s="32"/>
      <c r="D1177" s="31"/>
      <c r="E1177" s="31"/>
      <c r="F1177" s="31"/>
      <c r="G1177" s="31"/>
      <c r="H1177" s="31"/>
      <c r="I1177" s="31"/>
      <c r="J1177" s="31"/>
      <c r="K1177" s="31"/>
      <c r="L1177" s="31"/>
      <c r="M1177" s="31"/>
      <c r="N1177" s="33"/>
      <c r="O1177" s="31"/>
    </row>
    <row r="1178" spans="1:15" ht="15" customHeight="1">
      <c r="A1178" s="31"/>
      <c r="B1178" s="31"/>
      <c r="C1178" s="32"/>
      <c r="D1178" s="31"/>
      <c r="E1178" s="31"/>
      <c r="F1178" s="31"/>
      <c r="G1178" s="31"/>
      <c r="H1178" s="31"/>
      <c r="I1178" s="31"/>
      <c r="J1178" s="31"/>
      <c r="K1178" s="31"/>
      <c r="L1178" s="31"/>
      <c r="M1178" s="31"/>
      <c r="N1178" s="33"/>
      <c r="O1178" s="31"/>
    </row>
    <row r="1179" spans="1:15" ht="15" customHeight="1">
      <c r="A1179" s="31"/>
      <c r="B1179" s="31"/>
      <c r="C1179" s="32"/>
      <c r="D1179" s="31"/>
      <c r="E1179" s="31"/>
      <c r="F1179" s="31"/>
      <c r="G1179" s="31"/>
      <c r="H1179" s="31"/>
      <c r="I1179" s="31"/>
      <c r="J1179" s="31"/>
      <c r="K1179" s="31"/>
      <c r="L1179" s="31"/>
      <c r="M1179" s="31"/>
      <c r="N1179" s="33"/>
      <c r="O1179" s="31"/>
    </row>
    <row r="1180" spans="1:15" ht="15" customHeight="1">
      <c r="A1180" s="31"/>
      <c r="B1180" s="31"/>
      <c r="C1180" s="32"/>
      <c r="D1180" s="31"/>
      <c r="E1180" s="31"/>
      <c r="F1180" s="31"/>
      <c r="G1180" s="31"/>
      <c r="H1180" s="31"/>
      <c r="I1180" s="31"/>
      <c r="J1180" s="31"/>
      <c r="K1180" s="31"/>
      <c r="L1180" s="31"/>
      <c r="M1180" s="31"/>
      <c r="N1180" s="33"/>
      <c r="O1180" s="31"/>
    </row>
    <row r="1181" spans="1:15" ht="15" customHeight="1">
      <c r="A1181" s="31"/>
      <c r="B1181" s="31"/>
      <c r="C1181" s="32"/>
      <c r="D1181" s="31"/>
      <c r="E1181" s="31"/>
      <c r="F1181" s="31"/>
      <c r="G1181" s="31"/>
      <c r="H1181" s="31"/>
      <c r="I1181" s="31"/>
      <c r="J1181" s="31"/>
      <c r="K1181" s="31"/>
      <c r="L1181" s="31"/>
      <c r="M1181" s="31"/>
      <c r="N1181" s="33"/>
      <c r="O1181" s="31"/>
    </row>
    <row r="1182" spans="1:15" ht="15" customHeight="1">
      <c r="A1182" s="31"/>
      <c r="B1182" s="31"/>
      <c r="C1182" s="32"/>
      <c r="D1182" s="31"/>
      <c r="E1182" s="31"/>
      <c r="F1182" s="31"/>
      <c r="G1182" s="31"/>
      <c r="H1182" s="31"/>
      <c r="I1182" s="31"/>
      <c r="J1182" s="31"/>
      <c r="K1182" s="31"/>
      <c r="L1182" s="31"/>
      <c r="M1182" s="31"/>
      <c r="N1182" s="33"/>
      <c r="O1182" s="31"/>
    </row>
    <row r="1183" spans="1:15" ht="15" customHeight="1">
      <c r="A1183" s="31"/>
      <c r="B1183" s="31"/>
      <c r="C1183" s="32"/>
      <c r="D1183" s="31"/>
      <c r="E1183" s="31"/>
      <c r="F1183" s="31"/>
      <c r="G1183" s="31"/>
      <c r="H1183" s="31"/>
      <c r="I1183" s="31"/>
      <c r="J1183" s="31"/>
      <c r="K1183" s="31"/>
      <c r="L1183" s="31"/>
      <c r="M1183" s="31"/>
      <c r="N1183" s="33"/>
      <c r="O1183" s="31"/>
    </row>
    <row r="1184" spans="1:15" ht="15" customHeight="1">
      <c r="A1184" s="31"/>
      <c r="B1184" s="31"/>
      <c r="C1184" s="32"/>
      <c r="D1184" s="31"/>
      <c r="E1184" s="31"/>
      <c r="F1184" s="31"/>
      <c r="G1184" s="31"/>
      <c r="H1184" s="31"/>
      <c r="I1184" s="31"/>
      <c r="J1184" s="31"/>
      <c r="K1184" s="31"/>
      <c r="L1184" s="31"/>
      <c r="M1184" s="31"/>
      <c r="N1184" s="33"/>
      <c r="O1184" s="31"/>
    </row>
    <row r="1185" spans="1:15" ht="15" customHeight="1">
      <c r="A1185" s="31"/>
      <c r="B1185" s="31"/>
      <c r="C1185" s="32"/>
      <c r="D1185" s="31"/>
      <c r="E1185" s="31"/>
      <c r="F1185" s="31"/>
      <c r="G1185" s="31"/>
      <c r="H1185" s="31"/>
      <c r="I1185" s="31"/>
      <c r="J1185" s="31"/>
      <c r="K1185" s="31"/>
      <c r="L1185" s="31"/>
      <c r="M1185" s="31"/>
      <c r="N1185" s="33"/>
      <c r="O1185" s="31"/>
    </row>
    <row r="1186" spans="1:15" ht="15" customHeight="1">
      <c r="A1186" s="31"/>
      <c r="B1186" s="31"/>
      <c r="C1186" s="32"/>
      <c r="D1186" s="31"/>
      <c r="E1186" s="31"/>
      <c r="F1186" s="31"/>
      <c r="G1186" s="31"/>
      <c r="H1186" s="31"/>
      <c r="I1186" s="31"/>
      <c r="J1186" s="31"/>
      <c r="K1186" s="31"/>
      <c r="L1186" s="31"/>
      <c r="M1186" s="31"/>
      <c r="N1186" s="33"/>
      <c r="O1186" s="31"/>
    </row>
    <row r="1187" spans="1:15" ht="15" customHeight="1">
      <c r="A1187" s="31"/>
      <c r="B1187" s="31"/>
      <c r="C1187" s="32"/>
      <c r="D1187" s="31"/>
      <c r="E1187" s="31"/>
      <c r="F1187" s="31"/>
      <c r="G1187" s="31"/>
      <c r="H1187" s="31"/>
      <c r="I1187" s="31"/>
      <c r="J1187" s="31"/>
      <c r="K1187" s="31"/>
      <c r="L1187" s="31"/>
      <c r="M1187" s="31"/>
      <c r="N1187" s="33"/>
      <c r="O1187" s="31"/>
    </row>
    <row r="1188" spans="1:15" ht="15" customHeight="1">
      <c r="A1188" s="31"/>
      <c r="B1188" s="31"/>
      <c r="C1188" s="32"/>
      <c r="D1188" s="31"/>
      <c r="E1188" s="31"/>
      <c r="F1188" s="31"/>
      <c r="G1188" s="31"/>
      <c r="H1188" s="31"/>
      <c r="I1188" s="31"/>
      <c r="J1188" s="31"/>
      <c r="K1188" s="31"/>
      <c r="L1188" s="31"/>
      <c r="M1188" s="31"/>
      <c r="N1188" s="33"/>
      <c r="O1188" s="31"/>
    </row>
    <row r="1189" spans="1:15" ht="15" customHeight="1">
      <c r="A1189" s="31"/>
      <c r="B1189" s="31"/>
      <c r="C1189" s="32"/>
      <c r="D1189" s="31"/>
      <c r="E1189" s="31"/>
      <c r="F1189" s="31"/>
      <c r="G1189" s="31"/>
      <c r="H1189" s="31"/>
      <c r="I1189" s="31"/>
      <c r="J1189" s="31"/>
      <c r="K1189" s="31"/>
      <c r="L1189" s="31"/>
      <c r="M1189" s="31"/>
      <c r="N1189" s="33"/>
      <c r="O1189" s="31"/>
    </row>
    <row r="1190" spans="1:15" ht="15" customHeight="1">
      <c r="A1190" s="31"/>
      <c r="B1190" s="31"/>
      <c r="C1190" s="32"/>
      <c r="D1190" s="31"/>
      <c r="E1190" s="31"/>
      <c r="F1190" s="31"/>
      <c r="G1190" s="31"/>
      <c r="H1190" s="31"/>
      <c r="I1190" s="31"/>
      <c r="J1190" s="31"/>
      <c r="K1190" s="31"/>
      <c r="L1190" s="31"/>
      <c r="M1190" s="31"/>
      <c r="N1190" s="33"/>
      <c r="O1190" s="31"/>
    </row>
    <row r="1191" spans="1:15" ht="15" customHeight="1">
      <c r="A1191" s="31"/>
      <c r="B1191" s="31"/>
      <c r="C1191" s="32"/>
      <c r="D1191" s="31"/>
      <c r="E1191" s="31"/>
      <c r="F1191" s="31"/>
      <c r="G1191" s="31"/>
      <c r="H1191" s="31"/>
      <c r="I1191" s="31"/>
      <c r="J1191" s="31"/>
      <c r="K1191" s="31"/>
      <c r="L1191" s="31"/>
      <c r="M1191" s="31"/>
      <c r="N1191" s="33"/>
      <c r="O1191" s="31"/>
    </row>
    <row r="1192" spans="1:15" ht="15" customHeight="1">
      <c r="A1192" s="31"/>
      <c r="B1192" s="31"/>
      <c r="C1192" s="32"/>
      <c r="D1192" s="31"/>
      <c r="E1192" s="31"/>
      <c r="F1192" s="31"/>
      <c r="G1192" s="31"/>
      <c r="H1192" s="31"/>
      <c r="I1192" s="31"/>
      <c r="J1192" s="31"/>
      <c r="K1192" s="31"/>
      <c r="L1192" s="31"/>
      <c r="M1192" s="31"/>
      <c r="N1192" s="33"/>
      <c r="O1192" s="31"/>
    </row>
    <row r="1193" spans="1:15" ht="15" customHeight="1">
      <c r="A1193" s="31"/>
      <c r="B1193" s="31"/>
      <c r="C1193" s="32"/>
      <c r="D1193" s="31"/>
      <c r="E1193" s="31"/>
      <c r="F1193" s="31"/>
      <c r="G1193" s="31"/>
      <c r="H1193" s="31"/>
      <c r="I1193" s="31"/>
      <c r="J1193" s="31"/>
      <c r="K1193" s="31"/>
      <c r="L1193" s="31"/>
      <c r="M1193" s="31"/>
      <c r="N1193" s="33"/>
      <c r="O1193" s="31"/>
    </row>
    <row r="1194" spans="1:15" ht="15" customHeight="1">
      <c r="A1194" s="31"/>
      <c r="B1194" s="31"/>
      <c r="C1194" s="32"/>
      <c r="D1194" s="31"/>
      <c r="E1194" s="31"/>
      <c r="F1194" s="31"/>
      <c r="G1194" s="31"/>
      <c r="H1194" s="31"/>
      <c r="I1194" s="31"/>
      <c r="J1194" s="31"/>
      <c r="K1194" s="31"/>
      <c r="L1194" s="31"/>
      <c r="M1194" s="31"/>
      <c r="N1194" s="33"/>
      <c r="O1194" s="31"/>
    </row>
    <row r="1195" spans="1:15" ht="15" customHeight="1">
      <c r="A1195" s="31"/>
      <c r="B1195" s="31"/>
      <c r="C1195" s="32"/>
      <c r="D1195" s="31"/>
      <c r="E1195" s="31"/>
      <c r="F1195" s="31"/>
      <c r="G1195" s="31"/>
      <c r="H1195" s="31"/>
      <c r="I1195" s="31"/>
      <c r="J1195" s="31"/>
      <c r="K1195" s="31"/>
      <c r="L1195" s="31"/>
      <c r="M1195" s="31"/>
      <c r="N1195" s="33"/>
      <c r="O1195" s="31"/>
    </row>
    <row r="1196" spans="1:15" ht="15" customHeight="1">
      <c r="A1196" s="31"/>
      <c r="B1196" s="31"/>
      <c r="C1196" s="32"/>
      <c r="D1196" s="31"/>
      <c r="E1196" s="31"/>
      <c r="F1196" s="31"/>
      <c r="G1196" s="31"/>
      <c r="H1196" s="31"/>
      <c r="I1196" s="31"/>
      <c r="J1196" s="31"/>
      <c r="K1196" s="31"/>
      <c r="L1196" s="31"/>
      <c r="M1196" s="31"/>
      <c r="N1196" s="33"/>
      <c r="O1196" s="31"/>
    </row>
    <row r="1197" spans="1:15" ht="15" customHeight="1">
      <c r="A1197" s="31"/>
      <c r="B1197" s="31"/>
      <c r="C1197" s="32"/>
      <c r="D1197" s="31"/>
      <c r="E1197" s="31"/>
      <c r="F1197" s="31"/>
      <c r="G1197" s="31"/>
      <c r="H1197" s="31"/>
      <c r="I1197" s="31"/>
      <c r="J1197" s="31"/>
      <c r="K1197" s="31"/>
      <c r="L1197" s="31"/>
      <c r="M1197" s="31"/>
      <c r="N1197" s="33"/>
      <c r="O1197" s="31"/>
    </row>
    <row r="1198" spans="1:15" ht="15" customHeight="1">
      <c r="A1198" s="31"/>
      <c r="B1198" s="31"/>
      <c r="C1198" s="32"/>
      <c r="D1198" s="31"/>
      <c r="E1198" s="31"/>
      <c r="F1198" s="31"/>
      <c r="G1198" s="31"/>
      <c r="H1198" s="31"/>
      <c r="I1198" s="31"/>
      <c r="J1198" s="31"/>
      <c r="K1198" s="31"/>
      <c r="L1198" s="31"/>
      <c r="M1198" s="31"/>
      <c r="N1198" s="33"/>
      <c r="O1198" s="31"/>
    </row>
    <row r="1199" spans="1:15" ht="15" customHeight="1">
      <c r="A1199" s="31"/>
      <c r="B1199" s="31"/>
      <c r="C1199" s="32"/>
      <c r="D1199" s="31"/>
      <c r="E1199" s="31"/>
      <c r="F1199" s="31"/>
      <c r="G1199" s="31"/>
      <c r="H1199" s="31"/>
      <c r="I1199" s="31"/>
      <c r="J1199" s="31"/>
      <c r="K1199" s="31"/>
      <c r="L1199" s="31"/>
      <c r="M1199" s="31"/>
      <c r="N1199" s="33"/>
      <c r="O1199" s="31"/>
    </row>
    <row r="1200" spans="1:15" ht="15" customHeight="1">
      <c r="A1200" s="31"/>
      <c r="B1200" s="31"/>
      <c r="C1200" s="32"/>
      <c r="D1200" s="31"/>
      <c r="E1200" s="31"/>
      <c r="F1200" s="31"/>
      <c r="G1200" s="31"/>
      <c r="H1200" s="31"/>
      <c r="I1200" s="31"/>
      <c r="J1200" s="31"/>
      <c r="K1200" s="31"/>
      <c r="L1200" s="31"/>
      <c r="M1200" s="31"/>
      <c r="N1200" s="33"/>
      <c r="O1200" s="31"/>
    </row>
    <row r="1201" spans="1:15" ht="15" customHeight="1">
      <c r="A1201" s="31"/>
      <c r="B1201" s="31"/>
      <c r="C1201" s="32"/>
      <c r="D1201" s="31"/>
      <c r="E1201" s="31"/>
      <c r="F1201" s="31"/>
      <c r="G1201" s="31"/>
      <c r="H1201" s="31"/>
      <c r="I1201" s="31"/>
      <c r="J1201" s="31"/>
      <c r="K1201" s="31"/>
      <c r="L1201" s="31"/>
      <c r="M1201" s="31"/>
      <c r="N1201" s="33"/>
      <c r="O1201" s="31"/>
    </row>
    <row r="1202" spans="1:15" ht="15" customHeight="1">
      <c r="A1202" s="31"/>
      <c r="B1202" s="31"/>
      <c r="C1202" s="32"/>
      <c r="D1202" s="31"/>
      <c r="E1202" s="31"/>
      <c r="F1202" s="31"/>
      <c r="G1202" s="31"/>
      <c r="H1202" s="31"/>
      <c r="I1202" s="31"/>
      <c r="J1202" s="31"/>
      <c r="K1202" s="31"/>
      <c r="L1202" s="31"/>
      <c r="M1202" s="31"/>
      <c r="N1202" s="33"/>
      <c r="O1202" s="31"/>
    </row>
    <row r="1203" spans="1:15" ht="15" customHeight="1">
      <c r="A1203" s="31"/>
      <c r="B1203" s="31"/>
      <c r="C1203" s="32"/>
      <c r="D1203" s="31"/>
      <c r="E1203" s="31"/>
      <c r="F1203" s="31"/>
      <c r="G1203" s="31"/>
      <c r="H1203" s="31"/>
      <c r="I1203" s="31"/>
      <c r="J1203" s="31"/>
      <c r="K1203" s="31"/>
      <c r="L1203" s="31"/>
      <c r="M1203" s="31"/>
      <c r="N1203" s="33"/>
      <c r="O1203" s="31"/>
    </row>
    <row r="1204" spans="1:15" ht="15" customHeight="1">
      <c r="A1204" s="31"/>
      <c r="B1204" s="31"/>
      <c r="C1204" s="32"/>
      <c r="D1204" s="31"/>
      <c r="E1204" s="31"/>
      <c r="F1204" s="31"/>
      <c r="G1204" s="31"/>
      <c r="H1204" s="31"/>
      <c r="I1204" s="31"/>
      <c r="J1204" s="31"/>
      <c r="K1204" s="31"/>
      <c r="L1204" s="31"/>
      <c r="M1204" s="31"/>
      <c r="N1204" s="33"/>
      <c r="O1204" s="31"/>
    </row>
    <row r="1205" spans="1:15" ht="15" customHeight="1">
      <c r="A1205" s="31"/>
      <c r="B1205" s="31"/>
      <c r="C1205" s="32"/>
      <c r="D1205" s="31"/>
      <c r="E1205" s="31"/>
      <c r="F1205" s="31"/>
      <c r="G1205" s="31"/>
      <c r="H1205" s="31"/>
      <c r="I1205" s="31"/>
      <c r="J1205" s="31"/>
      <c r="K1205" s="31"/>
      <c r="L1205" s="31"/>
      <c r="M1205" s="31"/>
      <c r="N1205" s="33"/>
      <c r="O1205" s="31"/>
    </row>
    <row r="1206" spans="1:15" ht="15" customHeight="1">
      <c r="A1206" s="31"/>
      <c r="B1206" s="31"/>
      <c r="C1206" s="32"/>
      <c r="D1206" s="31"/>
      <c r="E1206" s="31"/>
      <c r="F1206" s="31"/>
      <c r="G1206" s="31"/>
      <c r="H1206" s="31"/>
      <c r="I1206" s="31"/>
      <c r="J1206" s="31"/>
      <c r="K1206" s="31"/>
      <c r="L1206" s="31"/>
      <c r="M1206" s="31"/>
      <c r="N1206" s="33"/>
      <c r="O1206" s="31"/>
    </row>
    <row r="1207" spans="1:15" ht="15" customHeight="1">
      <c r="A1207" s="31"/>
      <c r="B1207" s="31"/>
      <c r="C1207" s="32"/>
      <c r="D1207" s="31"/>
      <c r="E1207" s="31"/>
      <c r="F1207" s="31"/>
      <c r="G1207" s="31"/>
      <c r="H1207" s="31"/>
      <c r="I1207" s="31"/>
      <c r="J1207" s="31"/>
      <c r="K1207" s="31"/>
      <c r="L1207" s="31"/>
      <c r="M1207" s="31"/>
      <c r="N1207" s="33"/>
      <c r="O1207" s="31"/>
    </row>
    <row r="1208" spans="1:15" ht="15" customHeight="1">
      <c r="A1208" s="31"/>
      <c r="B1208" s="31"/>
      <c r="C1208" s="32"/>
      <c r="D1208" s="31"/>
      <c r="E1208" s="31"/>
      <c r="F1208" s="31"/>
      <c r="G1208" s="31"/>
      <c r="H1208" s="31"/>
      <c r="I1208" s="31"/>
      <c r="J1208" s="31"/>
      <c r="K1208" s="31"/>
      <c r="L1208" s="31"/>
      <c r="M1208" s="31"/>
      <c r="N1208" s="33"/>
      <c r="O1208" s="31"/>
    </row>
    <row r="1209" spans="1:15" ht="15" customHeight="1">
      <c r="A1209" s="31"/>
      <c r="B1209" s="31"/>
      <c r="C1209" s="32"/>
      <c r="D1209" s="31"/>
      <c r="E1209" s="31"/>
      <c r="F1209" s="31"/>
      <c r="G1209" s="31"/>
      <c r="H1209" s="31"/>
      <c r="I1209" s="31"/>
      <c r="J1209" s="31"/>
      <c r="K1209" s="31"/>
      <c r="L1209" s="31"/>
      <c r="M1209" s="31"/>
      <c r="N1209" s="33"/>
      <c r="O1209" s="31"/>
    </row>
    <row r="1210" spans="1:15" ht="15" customHeight="1">
      <c r="A1210" s="31"/>
      <c r="B1210" s="31"/>
      <c r="C1210" s="32"/>
      <c r="D1210" s="31"/>
      <c r="E1210" s="31"/>
      <c r="F1210" s="31"/>
      <c r="G1210" s="31"/>
      <c r="H1210" s="31"/>
      <c r="I1210" s="31"/>
      <c r="J1210" s="31"/>
      <c r="K1210" s="31"/>
      <c r="L1210" s="31"/>
      <c r="M1210" s="31"/>
      <c r="N1210" s="33"/>
      <c r="O1210" s="31"/>
    </row>
    <row r="1211" spans="1:15" ht="15" customHeight="1">
      <c r="A1211" s="31"/>
      <c r="B1211" s="31"/>
      <c r="C1211" s="32"/>
      <c r="D1211" s="31"/>
      <c r="E1211" s="31"/>
      <c r="F1211" s="31"/>
      <c r="G1211" s="31"/>
      <c r="H1211" s="31"/>
      <c r="I1211" s="31"/>
      <c r="J1211" s="31"/>
      <c r="K1211" s="31"/>
      <c r="L1211" s="31"/>
      <c r="M1211" s="31"/>
      <c r="N1211" s="33"/>
      <c r="O1211" s="31"/>
    </row>
    <row r="1212" spans="1:15" ht="15" customHeight="1">
      <c r="A1212" s="31"/>
      <c r="B1212" s="31"/>
      <c r="C1212" s="32"/>
      <c r="D1212" s="31"/>
      <c r="E1212" s="31"/>
      <c r="F1212" s="31"/>
      <c r="G1212" s="31"/>
      <c r="H1212" s="31"/>
      <c r="I1212" s="31"/>
      <c r="J1212" s="31"/>
      <c r="K1212" s="31"/>
      <c r="L1212" s="31"/>
      <c r="M1212" s="31"/>
      <c r="N1212" s="33"/>
      <c r="O1212" s="31"/>
    </row>
    <row r="1213" spans="1:15" ht="15" customHeight="1">
      <c r="A1213" s="31"/>
      <c r="B1213" s="31"/>
      <c r="C1213" s="32"/>
      <c r="D1213" s="31"/>
      <c r="E1213" s="31"/>
      <c r="F1213" s="31"/>
      <c r="G1213" s="31"/>
      <c r="H1213" s="31"/>
      <c r="I1213" s="31"/>
      <c r="J1213" s="31"/>
      <c r="K1213" s="31"/>
      <c r="L1213" s="31"/>
      <c r="M1213" s="31"/>
      <c r="N1213" s="33"/>
      <c r="O1213" s="31"/>
    </row>
    <row r="1214" spans="1:15" ht="15" customHeight="1">
      <c r="A1214" s="31"/>
      <c r="B1214" s="31"/>
      <c r="C1214" s="32"/>
      <c r="D1214" s="31"/>
      <c r="E1214" s="31"/>
      <c r="F1214" s="31"/>
      <c r="G1214" s="31"/>
      <c r="H1214" s="31"/>
      <c r="I1214" s="31"/>
      <c r="J1214" s="31"/>
      <c r="K1214" s="31"/>
      <c r="L1214" s="31"/>
      <c r="M1214" s="31"/>
      <c r="N1214" s="33"/>
      <c r="O1214" s="31"/>
    </row>
    <row r="1215" spans="1:15" ht="15" customHeight="1">
      <c r="A1215" s="31"/>
      <c r="B1215" s="31"/>
      <c r="C1215" s="32"/>
      <c r="D1215" s="31"/>
      <c r="E1215" s="31"/>
      <c r="F1215" s="31"/>
      <c r="G1215" s="31"/>
      <c r="H1215" s="31"/>
      <c r="I1215" s="31"/>
      <c r="J1215" s="31"/>
      <c r="K1215" s="31"/>
      <c r="L1215" s="31"/>
      <c r="M1215" s="31"/>
      <c r="N1215" s="33"/>
      <c r="O1215" s="31"/>
    </row>
    <row r="1216" spans="1:15" ht="15" customHeight="1">
      <c r="A1216" s="31"/>
      <c r="B1216" s="31"/>
      <c r="C1216" s="32"/>
      <c r="D1216" s="31"/>
      <c r="E1216" s="31"/>
      <c r="F1216" s="31"/>
      <c r="G1216" s="31"/>
      <c r="H1216" s="31"/>
      <c r="I1216" s="31"/>
      <c r="J1216" s="31"/>
      <c r="K1216" s="31"/>
      <c r="L1216" s="31"/>
      <c r="M1216" s="31"/>
      <c r="N1216" s="33"/>
      <c r="O1216" s="31"/>
    </row>
    <row r="1217" spans="1:15" ht="15" customHeight="1">
      <c r="A1217" s="31"/>
      <c r="B1217" s="31"/>
      <c r="C1217" s="32"/>
      <c r="D1217" s="31"/>
      <c r="E1217" s="31"/>
      <c r="F1217" s="31"/>
      <c r="G1217" s="31"/>
      <c r="H1217" s="31"/>
      <c r="I1217" s="31"/>
      <c r="J1217" s="31"/>
      <c r="K1217" s="31"/>
      <c r="L1217" s="31"/>
      <c r="M1217" s="31"/>
      <c r="N1217" s="33"/>
      <c r="O1217" s="31"/>
    </row>
    <row r="1218" spans="1:15" ht="15" customHeight="1">
      <c r="A1218" s="31"/>
      <c r="B1218" s="31"/>
      <c r="C1218" s="32"/>
      <c r="D1218" s="31"/>
      <c r="E1218" s="31"/>
      <c r="F1218" s="31"/>
      <c r="G1218" s="31"/>
      <c r="H1218" s="31"/>
      <c r="I1218" s="31"/>
      <c r="J1218" s="31"/>
      <c r="K1218" s="31"/>
      <c r="L1218" s="31"/>
      <c r="M1218" s="31"/>
      <c r="N1218" s="33"/>
      <c r="O1218" s="31"/>
    </row>
    <row r="1219" spans="1:15" ht="15" customHeight="1">
      <c r="A1219" s="31"/>
      <c r="B1219" s="31"/>
      <c r="C1219" s="32"/>
      <c r="D1219" s="31"/>
      <c r="E1219" s="31"/>
      <c r="F1219" s="31"/>
      <c r="G1219" s="31"/>
      <c r="H1219" s="31"/>
      <c r="I1219" s="31"/>
      <c r="J1219" s="31"/>
      <c r="K1219" s="31"/>
      <c r="L1219" s="31"/>
      <c r="M1219" s="31"/>
      <c r="N1219" s="33"/>
      <c r="O1219" s="31"/>
    </row>
    <row r="1220" spans="1:15" ht="15" customHeight="1">
      <c r="A1220" s="31"/>
      <c r="B1220" s="31"/>
      <c r="C1220" s="32"/>
      <c r="D1220" s="31"/>
      <c r="E1220" s="31"/>
      <c r="F1220" s="31"/>
      <c r="G1220" s="31"/>
      <c r="H1220" s="31"/>
      <c r="I1220" s="31"/>
      <c r="J1220" s="31"/>
      <c r="K1220" s="31"/>
      <c r="L1220" s="31"/>
      <c r="M1220" s="31"/>
      <c r="N1220" s="33"/>
      <c r="O1220" s="31"/>
    </row>
    <row r="1221" spans="1:15" ht="15" customHeight="1">
      <c r="A1221" s="31"/>
      <c r="B1221" s="31"/>
      <c r="C1221" s="32"/>
      <c r="D1221" s="31"/>
      <c r="E1221" s="31"/>
      <c r="F1221" s="31"/>
      <c r="G1221" s="31"/>
      <c r="H1221" s="31"/>
      <c r="I1221" s="31"/>
      <c r="J1221" s="31"/>
      <c r="K1221" s="31"/>
      <c r="L1221" s="31"/>
      <c r="M1221" s="31"/>
      <c r="N1221" s="33"/>
      <c r="O1221" s="31"/>
    </row>
    <row r="1222" spans="1:15" ht="15" customHeight="1">
      <c r="A1222" s="31"/>
      <c r="B1222" s="31"/>
      <c r="C1222" s="32"/>
      <c r="D1222" s="31"/>
      <c r="E1222" s="31"/>
      <c r="F1222" s="31"/>
      <c r="G1222" s="31"/>
      <c r="H1222" s="31"/>
      <c r="I1222" s="31"/>
      <c r="J1222" s="31"/>
      <c r="K1222" s="31"/>
      <c r="L1222" s="31"/>
      <c r="M1222" s="31"/>
      <c r="N1222" s="33"/>
      <c r="O1222" s="31"/>
    </row>
    <row r="1223" spans="1:15" ht="15" customHeight="1">
      <c r="A1223" s="31"/>
      <c r="B1223" s="31"/>
      <c r="C1223" s="32"/>
      <c r="D1223" s="31"/>
      <c r="E1223" s="31"/>
      <c r="F1223" s="31"/>
      <c r="G1223" s="31"/>
      <c r="H1223" s="31"/>
      <c r="I1223" s="31"/>
      <c r="J1223" s="31"/>
      <c r="K1223" s="31"/>
      <c r="L1223" s="31"/>
      <c r="M1223" s="31"/>
      <c r="N1223" s="33"/>
      <c r="O1223" s="31"/>
    </row>
    <row r="1224" spans="1:15" ht="15" customHeight="1">
      <c r="A1224" s="31"/>
      <c r="B1224" s="31"/>
      <c r="C1224" s="32"/>
      <c r="D1224" s="31"/>
      <c r="E1224" s="31"/>
      <c r="F1224" s="31"/>
      <c r="G1224" s="31"/>
      <c r="H1224" s="31"/>
      <c r="I1224" s="31"/>
      <c r="J1224" s="31"/>
      <c r="K1224" s="31"/>
      <c r="L1224" s="31"/>
      <c r="M1224" s="31"/>
      <c r="N1224" s="33"/>
      <c r="O1224" s="31"/>
    </row>
    <row r="1225" spans="1:15" ht="15" customHeight="1">
      <c r="A1225" s="31"/>
      <c r="B1225" s="31"/>
      <c r="C1225" s="32"/>
      <c r="D1225" s="31"/>
      <c r="E1225" s="31"/>
      <c r="F1225" s="31"/>
      <c r="G1225" s="31"/>
      <c r="H1225" s="31"/>
      <c r="I1225" s="31"/>
      <c r="J1225" s="31"/>
      <c r="K1225" s="31"/>
      <c r="L1225" s="31"/>
      <c r="M1225" s="31"/>
      <c r="N1225" s="33"/>
      <c r="O1225" s="31"/>
    </row>
    <row r="1226" spans="1:15" ht="15" customHeight="1">
      <c r="A1226" s="31"/>
      <c r="B1226" s="31"/>
      <c r="C1226" s="32"/>
      <c r="D1226" s="31"/>
      <c r="E1226" s="31"/>
      <c r="F1226" s="31"/>
      <c r="G1226" s="31"/>
      <c r="H1226" s="31"/>
      <c r="I1226" s="31"/>
      <c r="J1226" s="31"/>
      <c r="K1226" s="31"/>
      <c r="L1226" s="31"/>
      <c r="M1226" s="31"/>
      <c r="N1226" s="33"/>
      <c r="O1226" s="31"/>
    </row>
    <row r="1227" spans="1:15" ht="15" customHeight="1">
      <c r="A1227" s="31"/>
      <c r="B1227" s="31"/>
      <c r="C1227" s="32"/>
      <c r="D1227" s="31"/>
      <c r="E1227" s="31"/>
      <c r="F1227" s="31"/>
      <c r="G1227" s="31"/>
      <c r="H1227" s="31"/>
      <c r="I1227" s="31"/>
      <c r="J1227" s="31"/>
      <c r="K1227" s="31"/>
      <c r="L1227" s="31"/>
      <c r="M1227" s="31"/>
      <c r="N1227" s="33"/>
      <c r="O1227" s="31"/>
    </row>
    <row r="1228" spans="1:15" ht="15" customHeight="1">
      <c r="A1228" s="31"/>
      <c r="B1228" s="31"/>
      <c r="C1228" s="32"/>
      <c r="D1228" s="31"/>
      <c r="E1228" s="31"/>
      <c r="F1228" s="31"/>
      <c r="G1228" s="31"/>
      <c r="H1228" s="31"/>
      <c r="I1228" s="31"/>
      <c r="J1228" s="31"/>
      <c r="K1228" s="31"/>
      <c r="L1228" s="31"/>
      <c r="M1228" s="31"/>
      <c r="N1228" s="33"/>
      <c r="O1228" s="31"/>
    </row>
    <row r="1229" spans="1:15" ht="15" customHeight="1">
      <c r="A1229" s="31"/>
      <c r="B1229" s="31"/>
      <c r="C1229" s="32"/>
      <c r="D1229" s="31"/>
      <c r="E1229" s="31"/>
      <c r="F1229" s="31"/>
      <c r="G1229" s="31"/>
      <c r="H1229" s="31"/>
      <c r="I1229" s="31"/>
      <c r="J1229" s="31"/>
      <c r="K1229" s="31"/>
      <c r="L1229" s="31"/>
      <c r="M1229" s="31"/>
      <c r="N1229" s="33"/>
      <c r="O1229" s="31"/>
    </row>
    <row r="1230" spans="1:15" ht="15" customHeight="1">
      <c r="A1230" s="31"/>
      <c r="B1230" s="31"/>
      <c r="C1230" s="32"/>
      <c r="D1230" s="31"/>
      <c r="E1230" s="31"/>
      <c r="F1230" s="31"/>
      <c r="G1230" s="31"/>
      <c r="H1230" s="31"/>
      <c r="I1230" s="31"/>
      <c r="J1230" s="31"/>
      <c r="K1230" s="31"/>
      <c r="L1230" s="31"/>
      <c r="M1230" s="31"/>
      <c r="N1230" s="33"/>
      <c r="O1230" s="31"/>
    </row>
    <row r="1231" spans="1:15" ht="15" customHeight="1">
      <c r="A1231" s="31"/>
      <c r="B1231" s="31"/>
      <c r="C1231" s="32"/>
      <c r="D1231" s="31"/>
      <c r="E1231" s="31"/>
      <c r="F1231" s="31"/>
      <c r="G1231" s="31"/>
      <c r="H1231" s="31"/>
      <c r="I1231" s="31"/>
      <c r="J1231" s="31"/>
      <c r="K1231" s="31"/>
      <c r="L1231" s="31"/>
      <c r="M1231" s="31"/>
      <c r="N1231" s="33"/>
      <c r="O1231" s="31"/>
    </row>
    <row r="1232" spans="1:15" ht="15" customHeight="1">
      <c r="A1232" s="31"/>
      <c r="B1232" s="31"/>
      <c r="C1232" s="32"/>
      <c r="D1232" s="31"/>
      <c r="E1232" s="31"/>
      <c r="F1232" s="31"/>
      <c r="G1232" s="31"/>
      <c r="H1232" s="31"/>
      <c r="I1232" s="31"/>
      <c r="J1232" s="31"/>
      <c r="K1232" s="31"/>
      <c r="L1232" s="31"/>
      <c r="M1232" s="31"/>
      <c r="N1232" s="33"/>
      <c r="O1232" s="31"/>
    </row>
    <row r="1233" spans="1:15" ht="15" customHeight="1">
      <c r="A1233" s="31"/>
      <c r="B1233" s="31"/>
      <c r="C1233" s="32"/>
      <c r="D1233" s="31"/>
      <c r="E1233" s="31"/>
      <c r="F1233" s="31"/>
      <c r="G1233" s="31"/>
      <c r="H1233" s="31"/>
      <c r="I1233" s="31"/>
      <c r="J1233" s="31"/>
      <c r="K1233" s="31"/>
      <c r="L1233" s="31"/>
      <c r="M1233" s="31"/>
      <c r="N1233" s="33"/>
      <c r="O1233" s="31"/>
    </row>
    <row r="1234" spans="1:15" ht="15" customHeight="1">
      <c r="A1234" s="31"/>
      <c r="B1234" s="31"/>
      <c r="C1234" s="32"/>
      <c r="D1234" s="31"/>
      <c r="E1234" s="31"/>
      <c r="F1234" s="31"/>
      <c r="G1234" s="31"/>
      <c r="H1234" s="31"/>
      <c r="I1234" s="31"/>
      <c r="J1234" s="31"/>
      <c r="K1234" s="31"/>
      <c r="L1234" s="31"/>
      <c r="M1234" s="31"/>
      <c r="N1234" s="33"/>
      <c r="O1234" s="31"/>
    </row>
    <row r="1235" spans="1:15" ht="15" customHeight="1">
      <c r="A1235" s="31"/>
      <c r="B1235" s="31"/>
      <c r="C1235" s="32"/>
      <c r="D1235" s="31"/>
      <c r="E1235" s="31"/>
      <c r="F1235" s="31"/>
      <c r="G1235" s="31"/>
      <c r="H1235" s="31"/>
      <c r="I1235" s="31"/>
      <c r="J1235" s="31"/>
      <c r="K1235" s="31"/>
      <c r="L1235" s="31"/>
      <c r="M1235" s="31"/>
      <c r="N1235" s="33"/>
      <c r="O1235" s="31"/>
    </row>
    <row r="1236" spans="1:15" ht="15" customHeight="1">
      <c r="A1236" s="31"/>
      <c r="B1236" s="31"/>
      <c r="C1236" s="32"/>
      <c r="D1236" s="31"/>
      <c r="E1236" s="31"/>
      <c r="F1236" s="31"/>
      <c r="G1236" s="31"/>
      <c r="H1236" s="31"/>
      <c r="I1236" s="31"/>
      <c r="J1236" s="31"/>
      <c r="K1236" s="31"/>
      <c r="L1236" s="31"/>
      <c r="M1236" s="31"/>
      <c r="N1236" s="33"/>
      <c r="O1236" s="31"/>
    </row>
    <row r="1237" spans="1:15" ht="15" customHeight="1">
      <c r="A1237" s="31"/>
      <c r="B1237" s="31"/>
      <c r="C1237" s="32"/>
      <c r="D1237" s="31"/>
      <c r="E1237" s="31"/>
      <c r="F1237" s="31"/>
      <c r="G1237" s="31"/>
      <c r="H1237" s="31"/>
      <c r="I1237" s="31"/>
      <c r="J1237" s="31"/>
      <c r="K1237" s="31"/>
      <c r="L1237" s="31"/>
      <c r="M1237" s="31"/>
      <c r="N1237" s="33"/>
      <c r="O1237" s="31"/>
    </row>
    <row r="1238" spans="1:15" ht="15" customHeight="1">
      <c r="A1238" s="31"/>
      <c r="B1238" s="31"/>
      <c r="C1238" s="32"/>
      <c r="D1238" s="31"/>
      <c r="E1238" s="31"/>
      <c r="F1238" s="31"/>
      <c r="G1238" s="31"/>
      <c r="H1238" s="31"/>
      <c r="I1238" s="31"/>
      <c r="J1238" s="31"/>
      <c r="K1238" s="31"/>
      <c r="L1238" s="31"/>
      <c r="M1238" s="31"/>
      <c r="N1238" s="33"/>
      <c r="O1238" s="31"/>
    </row>
    <row r="1239" spans="1:15" ht="15" customHeight="1">
      <c r="A1239" s="31"/>
      <c r="B1239" s="31"/>
      <c r="C1239" s="32"/>
      <c r="D1239" s="31"/>
      <c r="E1239" s="31"/>
      <c r="F1239" s="31"/>
      <c r="G1239" s="31"/>
      <c r="H1239" s="31"/>
      <c r="I1239" s="31"/>
      <c r="J1239" s="31"/>
      <c r="K1239" s="31"/>
      <c r="L1239" s="31"/>
      <c r="M1239" s="31"/>
      <c r="N1239" s="33"/>
      <c r="O1239" s="31"/>
    </row>
    <row r="1240" spans="1:15" ht="15" customHeight="1">
      <c r="A1240" s="31"/>
      <c r="B1240" s="31"/>
      <c r="C1240" s="32"/>
      <c r="D1240" s="31"/>
      <c r="E1240" s="31"/>
      <c r="F1240" s="31"/>
      <c r="G1240" s="31"/>
      <c r="H1240" s="31"/>
      <c r="I1240" s="31"/>
      <c r="J1240" s="31"/>
      <c r="K1240" s="31"/>
      <c r="L1240" s="31"/>
      <c r="M1240" s="31"/>
      <c r="N1240" s="33"/>
      <c r="O1240" s="31"/>
    </row>
    <row r="1241" spans="1:15" ht="15" customHeight="1">
      <c r="A1241" s="31"/>
      <c r="B1241" s="31"/>
      <c r="C1241" s="32"/>
      <c r="D1241" s="31"/>
      <c r="E1241" s="31"/>
      <c r="F1241" s="31"/>
      <c r="G1241" s="31"/>
      <c r="H1241" s="31"/>
      <c r="I1241" s="31"/>
      <c r="J1241" s="31"/>
      <c r="K1241" s="31"/>
      <c r="L1241" s="31"/>
      <c r="M1241" s="31"/>
      <c r="N1241" s="33"/>
      <c r="O1241" s="31"/>
    </row>
    <row r="1242" spans="1:15" ht="15" customHeight="1">
      <c r="A1242" s="31"/>
      <c r="B1242" s="31"/>
      <c r="C1242" s="32"/>
      <c r="D1242" s="31"/>
      <c r="E1242" s="31"/>
      <c r="F1242" s="31"/>
      <c r="G1242" s="31"/>
      <c r="H1242" s="31"/>
      <c r="I1242" s="31"/>
      <c r="J1242" s="31"/>
      <c r="K1242" s="31"/>
      <c r="L1242" s="31"/>
      <c r="M1242" s="31"/>
      <c r="N1242" s="33"/>
      <c r="O1242" s="31"/>
    </row>
    <row r="1243" spans="1:15" ht="15" customHeight="1">
      <c r="A1243" s="31"/>
      <c r="B1243" s="31"/>
      <c r="C1243" s="32"/>
      <c r="D1243" s="31"/>
      <c r="E1243" s="31"/>
      <c r="F1243" s="31"/>
      <c r="G1243" s="31"/>
      <c r="H1243" s="31"/>
      <c r="I1243" s="31"/>
      <c r="J1243" s="31"/>
      <c r="K1243" s="31"/>
      <c r="L1243" s="31"/>
      <c r="M1243" s="31"/>
      <c r="N1243" s="33"/>
      <c r="O1243" s="31"/>
    </row>
    <row r="1244" spans="1:15" ht="15" customHeight="1">
      <c r="A1244" s="31"/>
      <c r="B1244" s="31"/>
      <c r="C1244" s="32"/>
      <c r="D1244" s="31"/>
      <c r="E1244" s="31"/>
      <c r="F1244" s="31"/>
      <c r="G1244" s="31"/>
      <c r="H1244" s="31"/>
      <c r="I1244" s="31"/>
      <c r="J1244" s="31"/>
      <c r="K1244" s="31"/>
      <c r="L1244" s="31"/>
      <c r="M1244" s="31"/>
      <c r="N1244" s="33"/>
      <c r="O1244" s="31"/>
    </row>
    <row r="1245" spans="1:15" ht="15" customHeight="1">
      <c r="A1245" s="31"/>
      <c r="B1245" s="31"/>
      <c r="C1245" s="32"/>
      <c r="D1245" s="31"/>
      <c r="E1245" s="31"/>
      <c r="F1245" s="31"/>
      <c r="G1245" s="31"/>
      <c r="H1245" s="31"/>
      <c r="I1245" s="31"/>
      <c r="J1245" s="31"/>
      <c r="K1245" s="31"/>
      <c r="L1245" s="31"/>
      <c r="M1245" s="31"/>
      <c r="N1245" s="33"/>
      <c r="O1245" s="31"/>
    </row>
    <row r="1246" spans="1:15" ht="15" customHeight="1">
      <c r="A1246" s="31"/>
      <c r="B1246" s="31"/>
      <c r="C1246" s="32"/>
      <c r="D1246" s="31"/>
      <c r="E1246" s="31"/>
      <c r="F1246" s="31"/>
      <c r="G1246" s="31"/>
      <c r="H1246" s="31"/>
      <c r="I1246" s="31"/>
      <c r="J1246" s="31"/>
      <c r="K1246" s="31"/>
      <c r="L1246" s="31"/>
      <c r="M1246" s="31"/>
      <c r="N1246" s="33"/>
      <c r="O1246" s="31"/>
    </row>
    <row r="1247" spans="1:15" ht="15" customHeight="1">
      <c r="A1247" s="31"/>
      <c r="B1247" s="31"/>
      <c r="C1247" s="32"/>
      <c r="D1247" s="31"/>
      <c r="E1247" s="31"/>
      <c r="F1247" s="31"/>
      <c r="G1247" s="31"/>
      <c r="H1247" s="31"/>
      <c r="I1247" s="31"/>
      <c r="J1247" s="31"/>
      <c r="K1247" s="31"/>
      <c r="L1247" s="31"/>
      <c r="M1247" s="31"/>
      <c r="N1247" s="33"/>
      <c r="O1247" s="31"/>
    </row>
    <row r="1248" spans="1:15" ht="15" customHeight="1">
      <c r="A1248" s="31"/>
      <c r="B1248" s="31"/>
      <c r="C1248" s="32"/>
      <c r="D1248" s="31"/>
      <c r="E1248" s="31"/>
      <c r="F1248" s="31"/>
      <c r="G1248" s="31"/>
      <c r="H1248" s="31"/>
      <c r="I1248" s="31"/>
      <c r="J1248" s="31"/>
      <c r="K1248" s="31"/>
      <c r="L1248" s="31"/>
      <c r="M1248" s="31"/>
      <c r="N1248" s="33"/>
      <c r="O1248" s="31"/>
    </row>
    <row r="1249" spans="1:15" ht="15" customHeight="1">
      <c r="A1249" s="31"/>
      <c r="B1249" s="31"/>
      <c r="C1249" s="32"/>
      <c r="D1249" s="31"/>
      <c r="E1249" s="31"/>
      <c r="F1249" s="31"/>
      <c r="G1249" s="31"/>
      <c r="H1249" s="31"/>
      <c r="I1249" s="31"/>
      <c r="J1249" s="31"/>
      <c r="K1249" s="31"/>
      <c r="L1249" s="31"/>
      <c r="M1249" s="31"/>
      <c r="N1249" s="33"/>
      <c r="O1249" s="31"/>
    </row>
    <row r="1250" spans="1:15" ht="15" customHeight="1">
      <c r="A1250" s="31"/>
      <c r="B1250" s="31"/>
      <c r="C1250" s="32"/>
      <c r="D1250" s="31"/>
      <c r="E1250" s="31"/>
      <c r="F1250" s="31"/>
      <c r="G1250" s="31"/>
      <c r="H1250" s="31"/>
      <c r="I1250" s="31"/>
      <c r="J1250" s="31"/>
      <c r="K1250" s="31"/>
      <c r="L1250" s="31"/>
      <c r="M1250" s="31"/>
      <c r="N1250" s="33"/>
      <c r="O1250" s="31"/>
    </row>
    <row r="1251" spans="1:15" ht="15" customHeight="1">
      <c r="A1251" s="31"/>
      <c r="B1251" s="31"/>
      <c r="C1251" s="32"/>
      <c r="D1251" s="31"/>
      <c r="E1251" s="31"/>
      <c r="F1251" s="31"/>
      <c r="G1251" s="31"/>
      <c r="H1251" s="31"/>
      <c r="I1251" s="31"/>
      <c r="J1251" s="31"/>
      <c r="K1251" s="31"/>
      <c r="L1251" s="31"/>
      <c r="M1251" s="31"/>
      <c r="N1251" s="33"/>
      <c r="O1251" s="31"/>
    </row>
    <row r="1252" spans="1:15" ht="15" customHeight="1">
      <c r="A1252" s="31"/>
      <c r="B1252" s="31"/>
      <c r="C1252" s="32"/>
      <c r="D1252" s="31"/>
      <c r="E1252" s="31"/>
      <c r="F1252" s="31"/>
      <c r="G1252" s="31"/>
      <c r="H1252" s="31"/>
      <c r="I1252" s="31"/>
      <c r="J1252" s="31"/>
      <c r="K1252" s="31"/>
      <c r="L1252" s="31"/>
      <c r="M1252" s="31"/>
      <c r="N1252" s="33"/>
      <c r="O1252" s="31"/>
    </row>
    <row r="1253" spans="1:15" ht="15" customHeight="1">
      <c r="A1253" s="31"/>
      <c r="B1253" s="31"/>
      <c r="C1253" s="32"/>
      <c r="D1253" s="31"/>
      <c r="E1253" s="31"/>
      <c r="F1253" s="31"/>
      <c r="G1253" s="31"/>
      <c r="H1253" s="31"/>
      <c r="I1253" s="31"/>
      <c r="J1253" s="31"/>
      <c r="K1253" s="31"/>
      <c r="L1253" s="31"/>
      <c r="M1253" s="31"/>
      <c r="N1253" s="33"/>
      <c r="O1253" s="31"/>
    </row>
    <row r="1254" spans="1:15" ht="15" customHeight="1">
      <c r="A1254" s="31"/>
      <c r="B1254" s="31"/>
      <c r="C1254" s="32"/>
      <c r="D1254" s="31"/>
      <c r="E1254" s="31"/>
      <c r="F1254" s="31"/>
      <c r="G1254" s="31"/>
      <c r="H1254" s="31"/>
      <c r="I1254" s="31"/>
      <c r="J1254" s="31"/>
      <c r="K1254" s="31"/>
      <c r="L1254" s="31"/>
      <c r="M1254" s="31"/>
      <c r="N1254" s="33"/>
      <c r="O1254" s="31"/>
    </row>
    <row r="1255" spans="1:15" ht="15" customHeight="1">
      <c r="A1255" s="31"/>
      <c r="B1255" s="31"/>
      <c r="C1255" s="32"/>
      <c r="D1255" s="31"/>
      <c r="E1255" s="31"/>
      <c r="F1255" s="31"/>
      <c r="G1255" s="31"/>
      <c r="H1255" s="31"/>
      <c r="I1255" s="31"/>
      <c r="J1255" s="31"/>
      <c r="K1255" s="31"/>
      <c r="L1255" s="31"/>
      <c r="M1255" s="31"/>
      <c r="N1255" s="33"/>
      <c r="O1255" s="31"/>
    </row>
    <row r="1256" spans="1:15" ht="15" customHeight="1">
      <c r="A1256" s="31"/>
      <c r="B1256" s="31"/>
      <c r="C1256" s="32"/>
      <c r="D1256" s="31"/>
      <c r="E1256" s="31"/>
      <c r="F1256" s="31"/>
      <c r="G1256" s="31"/>
      <c r="H1256" s="31"/>
      <c r="I1256" s="31"/>
      <c r="J1256" s="31"/>
      <c r="K1256" s="31"/>
      <c r="L1256" s="31"/>
      <c r="M1256" s="31"/>
      <c r="N1256" s="33"/>
      <c r="O1256" s="31"/>
    </row>
    <row r="1257" spans="1:15" ht="15" customHeight="1">
      <c r="A1257" s="31"/>
      <c r="B1257" s="31"/>
      <c r="C1257" s="32"/>
      <c r="D1257" s="31"/>
      <c r="E1257" s="31"/>
      <c r="F1257" s="31"/>
      <c r="G1257" s="31"/>
      <c r="H1257" s="31"/>
      <c r="I1257" s="31"/>
      <c r="J1257" s="31"/>
      <c r="K1257" s="31"/>
      <c r="L1257" s="31"/>
      <c r="M1257" s="31"/>
      <c r="N1257" s="33"/>
      <c r="O1257" s="31"/>
    </row>
    <row r="1258" spans="1:15" ht="15" customHeight="1">
      <c r="A1258" s="31"/>
      <c r="B1258" s="31"/>
      <c r="C1258" s="32"/>
      <c r="D1258" s="31"/>
      <c r="E1258" s="31"/>
      <c r="F1258" s="31"/>
      <c r="G1258" s="31"/>
      <c r="H1258" s="31"/>
      <c r="I1258" s="31"/>
      <c r="J1258" s="31"/>
      <c r="K1258" s="31"/>
      <c r="L1258" s="31"/>
      <c r="M1258" s="31"/>
      <c r="N1258" s="33"/>
      <c r="O1258" s="31"/>
    </row>
    <row r="1259" spans="1:15" ht="15" customHeight="1">
      <c r="A1259" s="31"/>
      <c r="B1259" s="31"/>
      <c r="C1259" s="32"/>
      <c r="D1259" s="31"/>
      <c r="E1259" s="31"/>
      <c r="F1259" s="31"/>
      <c r="G1259" s="31"/>
      <c r="H1259" s="31"/>
      <c r="I1259" s="31"/>
      <c r="J1259" s="31"/>
      <c r="K1259" s="31"/>
      <c r="L1259" s="31"/>
      <c r="M1259" s="31"/>
      <c r="N1259" s="33"/>
      <c r="O1259" s="31"/>
    </row>
    <row r="1260" spans="1:15" ht="15" customHeight="1">
      <c r="A1260" s="31"/>
      <c r="B1260" s="31"/>
      <c r="C1260" s="32"/>
      <c r="D1260" s="31"/>
      <c r="E1260" s="31"/>
      <c r="F1260" s="31"/>
      <c r="G1260" s="31"/>
      <c r="H1260" s="31"/>
      <c r="I1260" s="31"/>
      <c r="J1260" s="31"/>
      <c r="K1260" s="31"/>
      <c r="L1260" s="31"/>
      <c r="M1260" s="31"/>
      <c r="N1260" s="33"/>
      <c r="O1260" s="31"/>
    </row>
    <row r="1261" spans="1:15" ht="15" customHeight="1">
      <c r="A1261" s="31"/>
      <c r="B1261" s="31"/>
      <c r="C1261" s="32"/>
      <c r="D1261" s="31"/>
      <c r="E1261" s="31"/>
      <c r="F1261" s="31"/>
      <c r="G1261" s="31"/>
      <c r="H1261" s="31"/>
      <c r="I1261" s="31"/>
      <c r="J1261" s="31"/>
      <c r="K1261" s="31"/>
      <c r="L1261" s="31"/>
      <c r="M1261" s="31"/>
      <c r="N1261" s="33"/>
      <c r="O1261" s="31"/>
    </row>
    <row r="1262" spans="1:15" ht="15" customHeight="1">
      <c r="A1262" s="31"/>
      <c r="B1262" s="31"/>
      <c r="C1262" s="32"/>
      <c r="D1262" s="31"/>
      <c r="E1262" s="31"/>
      <c r="F1262" s="31"/>
      <c r="G1262" s="31"/>
      <c r="H1262" s="31"/>
      <c r="I1262" s="31"/>
      <c r="J1262" s="31"/>
      <c r="K1262" s="31"/>
      <c r="L1262" s="31"/>
      <c r="M1262" s="31"/>
      <c r="N1262" s="33"/>
      <c r="O1262" s="31"/>
    </row>
    <row r="1263" spans="1:15" ht="15" customHeight="1">
      <c r="A1263" s="31"/>
      <c r="B1263" s="31"/>
      <c r="C1263" s="32"/>
      <c r="D1263" s="31"/>
      <c r="E1263" s="31"/>
      <c r="F1263" s="31"/>
      <c r="G1263" s="31"/>
      <c r="H1263" s="31"/>
      <c r="I1263" s="31"/>
      <c r="J1263" s="31"/>
      <c r="K1263" s="31"/>
      <c r="L1263" s="31"/>
      <c r="M1263" s="31"/>
      <c r="N1263" s="33"/>
      <c r="O1263" s="31"/>
    </row>
    <row r="1264" spans="1:15" ht="15" customHeight="1">
      <c r="A1264" s="31"/>
      <c r="B1264" s="31"/>
      <c r="C1264" s="32"/>
      <c r="D1264" s="31"/>
      <c r="E1264" s="31"/>
      <c r="F1264" s="31"/>
      <c r="G1264" s="31"/>
      <c r="H1264" s="31"/>
      <c r="I1264" s="31"/>
      <c r="J1264" s="31"/>
      <c r="K1264" s="31"/>
      <c r="L1264" s="31"/>
      <c r="M1264" s="31"/>
      <c r="N1264" s="33"/>
      <c r="O1264" s="31"/>
    </row>
    <row r="1265" spans="1:15" ht="15" customHeight="1">
      <c r="A1265" s="31"/>
      <c r="B1265" s="31"/>
      <c r="C1265" s="32"/>
      <c r="D1265" s="31"/>
      <c r="E1265" s="31"/>
      <c r="F1265" s="31"/>
      <c r="G1265" s="31"/>
      <c r="H1265" s="31"/>
      <c r="I1265" s="31"/>
      <c r="J1265" s="31"/>
      <c r="K1265" s="31"/>
      <c r="L1265" s="31"/>
      <c r="M1265" s="31"/>
      <c r="N1265" s="33"/>
      <c r="O1265" s="31"/>
    </row>
    <row r="1266" spans="1:15" ht="15" customHeight="1">
      <c r="A1266" s="31"/>
      <c r="B1266" s="31"/>
      <c r="C1266" s="32"/>
      <c r="D1266" s="31"/>
      <c r="E1266" s="31"/>
      <c r="F1266" s="31"/>
      <c r="G1266" s="31"/>
      <c r="H1266" s="31"/>
      <c r="I1266" s="31"/>
      <c r="J1266" s="31"/>
      <c r="K1266" s="31"/>
      <c r="L1266" s="31"/>
      <c r="M1266" s="31"/>
      <c r="N1266" s="33"/>
      <c r="O1266" s="31"/>
    </row>
    <row r="1267" spans="1:15" ht="15" customHeight="1">
      <c r="A1267" s="31"/>
      <c r="B1267" s="31"/>
      <c r="C1267" s="32"/>
      <c r="D1267" s="31"/>
      <c r="E1267" s="31"/>
      <c r="F1267" s="31"/>
      <c r="G1267" s="31"/>
      <c r="H1267" s="31"/>
      <c r="I1267" s="31"/>
      <c r="J1267" s="31"/>
      <c r="K1267" s="31"/>
      <c r="L1267" s="31"/>
      <c r="M1267" s="31"/>
      <c r="N1267" s="33"/>
      <c r="O1267" s="31"/>
    </row>
    <row r="1268" spans="1:15" ht="15" customHeight="1">
      <c r="A1268" s="31"/>
      <c r="B1268" s="31"/>
      <c r="C1268" s="32"/>
      <c r="D1268" s="31"/>
      <c r="E1268" s="31"/>
      <c r="F1268" s="31"/>
      <c r="G1268" s="31"/>
      <c r="H1268" s="31"/>
      <c r="I1268" s="31"/>
      <c r="J1268" s="31"/>
      <c r="K1268" s="31"/>
      <c r="L1268" s="31"/>
      <c r="M1268" s="31"/>
      <c r="N1268" s="33"/>
      <c r="O1268" s="31"/>
    </row>
    <row r="1269" spans="1:15" ht="15" customHeight="1">
      <c r="A1269" s="31"/>
      <c r="B1269" s="31"/>
      <c r="C1269" s="32"/>
      <c r="D1269" s="31"/>
      <c r="E1269" s="31"/>
      <c r="F1269" s="31"/>
      <c r="G1269" s="31"/>
      <c r="H1269" s="31"/>
      <c r="I1269" s="31"/>
      <c r="J1269" s="31"/>
      <c r="K1269" s="31"/>
      <c r="L1269" s="31"/>
      <c r="M1269" s="31"/>
      <c r="N1269" s="33"/>
      <c r="O1269" s="31"/>
    </row>
    <row r="1270" spans="1:15" ht="15" customHeight="1">
      <c r="A1270" s="31"/>
      <c r="B1270" s="31"/>
      <c r="C1270" s="32"/>
      <c r="D1270" s="31"/>
      <c r="E1270" s="31"/>
      <c r="F1270" s="31"/>
      <c r="G1270" s="31"/>
      <c r="H1270" s="31"/>
      <c r="I1270" s="31"/>
      <c r="J1270" s="31"/>
      <c r="K1270" s="31"/>
      <c r="L1270" s="31"/>
      <c r="M1270" s="31"/>
      <c r="N1270" s="33"/>
      <c r="O1270" s="31"/>
    </row>
    <row r="1271" spans="1:15" ht="15" customHeight="1">
      <c r="A1271" s="31"/>
      <c r="B1271" s="31"/>
      <c r="C1271" s="32"/>
      <c r="D1271" s="31"/>
      <c r="E1271" s="31"/>
      <c r="F1271" s="31"/>
      <c r="G1271" s="31"/>
      <c r="H1271" s="31"/>
      <c r="I1271" s="31"/>
      <c r="J1271" s="31"/>
      <c r="K1271" s="31"/>
      <c r="L1271" s="31"/>
      <c r="M1271" s="31"/>
      <c r="N1271" s="33"/>
      <c r="O1271" s="31"/>
    </row>
    <row r="1272" spans="1:15" ht="15" customHeight="1">
      <c r="A1272" s="31"/>
      <c r="B1272" s="31"/>
      <c r="C1272" s="32"/>
      <c r="D1272" s="31"/>
      <c r="E1272" s="31"/>
      <c r="F1272" s="31"/>
      <c r="G1272" s="31"/>
      <c r="H1272" s="31"/>
      <c r="I1272" s="31"/>
      <c r="J1272" s="31"/>
      <c r="K1272" s="31"/>
      <c r="L1272" s="31"/>
      <c r="M1272" s="31"/>
      <c r="N1272" s="33"/>
      <c r="O1272" s="31"/>
    </row>
    <row r="1273" spans="1:15" ht="15" customHeight="1">
      <c r="A1273" s="31"/>
      <c r="B1273" s="31"/>
      <c r="C1273" s="32"/>
      <c r="D1273" s="31"/>
      <c r="E1273" s="31"/>
      <c r="F1273" s="31"/>
      <c r="G1273" s="31"/>
      <c r="H1273" s="31"/>
      <c r="I1273" s="31"/>
      <c r="J1273" s="31"/>
      <c r="K1273" s="31"/>
      <c r="L1273" s="31"/>
      <c r="M1273" s="31"/>
      <c r="N1273" s="33"/>
      <c r="O1273" s="31"/>
    </row>
    <row r="1274" spans="1:15" ht="15" customHeight="1">
      <c r="A1274" s="31"/>
      <c r="B1274" s="31"/>
      <c r="C1274" s="32"/>
      <c r="D1274" s="31"/>
      <c r="E1274" s="31"/>
      <c r="F1274" s="31"/>
      <c r="G1274" s="31"/>
      <c r="H1274" s="31"/>
      <c r="I1274" s="31"/>
      <c r="J1274" s="31"/>
      <c r="K1274" s="31"/>
      <c r="L1274" s="31"/>
      <c r="M1274" s="31"/>
      <c r="N1274" s="33"/>
      <c r="O1274" s="31"/>
    </row>
    <row r="1275" spans="1:15" ht="15" customHeight="1">
      <c r="A1275" s="31"/>
      <c r="B1275" s="31"/>
      <c r="C1275" s="32"/>
      <c r="D1275" s="31"/>
      <c r="E1275" s="31"/>
      <c r="F1275" s="31"/>
      <c r="G1275" s="31"/>
      <c r="H1275" s="31"/>
      <c r="I1275" s="31"/>
      <c r="J1275" s="31"/>
      <c r="K1275" s="31"/>
      <c r="L1275" s="31"/>
      <c r="M1275" s="31"/>
      <c r="N1275" s="33"/>
      <c r="O1275" s="31"/>
    </row>
    <row r="1276" spans="1:15" ht="15" customHeight="1">
      <c r="A1276" s="31"/>
      <c r="B1276" s="31"/>
      <c r="C1276" s="32"/>
      <c r="D1276" s="31"/>
      <c r="E1276" s="31"/>
      <c r="F1276" s="31"/>
      <c r="G1276" s="31"/>
      <c r="H1276" s="31"/>
      <c r="I1276" s="31"/>
      <c r="J1276" s="31"/>
      <c r="K1276" s="31"/>
      <c r="L1276" s="31"/>
      <c r="M1276" s="31"/>
      <c r="N1276" s="33"/>
      <c r="O1276" s="31"/>
    </row>
    <row r="1277" spans="1:15" ht="15" customHeight="1">
      <c r="A1277" s="31"/>
      <c r="B1277" s="31"/>
      <c r="C1277" s="32"/>
      <c r="D1277" s="31"/>
      <c r="E1277" s="31"/>
      <c r="F1277" s="31"/>
      <c r="G1277" s="31"/>
      <c r="H1277" s="31"/>
      <c r="I1277" s="31"/>
      <c r="J1277" s="31"/>
      <c r="K1277" s="31"/>
      <c r="L1277" s="31"/>
      <c r="M1277" s="31"/>
      <c r="N1277" s="33"/>
      <c r="O1277" s="31"/>
    </row>
    <row r="1278" spans="1:15" ht="15" customHeight="1">
      <c r="A1278" s="31"/>
      <c r="B1278" s="31"/>
      <c r="C1278" s="32"/>
      <c r="D1278" s="31"/>
      <c r="E1278" s="31"/>
      <c r="F1278" s="31"/>
      <c r="G1278" s="31"/>
      <c r="H1278" s="31"/>
      <c r="I1278" s="31"/>
      <c r="J1278" s="31"/>
      <c r="K1278" s="31"/>
      <c r="L1278" s="31"/>
      <c r="M1278" s="31"/>
      <c r="N1278" s="33"/>
      <c r="O1278" s="31"/>
    </row>
    <row r="1279" spans="1:15" ht="15" customHeight="1">
      <c r="A1279" s="31"/>
      <c r="B1279" s="31"/>
      <c r="C1279" s="32"/>
      <c r="D1279" s="31"/>
      <c r="E1279" s="31"/>
      <c r="F1279" s="31"/>
      <c r="G1279" s="31"/>
      <c r="H1279" s="31"/>
      <c r="I1279" s="31"/>
      <c r="J1279" s="31"/>
      <c r="K1279" s="31"/>
      <c r="L1279" s="31"/>
      <c r="M1279" s="31"/>
      <c r="N1279" s="33"/>
      <c r="O1279" s="31"/>
    </row>
    <row r="1280" spans="1:15" ht="15" customHeight="1">
      <c r="A1280" s="31"/>
      <c r="B1280" s="31"/>
      <c r="C1280" s="32"/>
      <c r="D1280" s="31"/>
      <c r="E1280" s="31"/>
      <c r="F1280" s="31"/>
      <c r="G1280" s="31"/>
      <c r="H1280" s="31"/>
      <c r="I1280" s="31"/>
      <c r="J1280" s="31"/>
      <c r="K1280" s="31"/>
      <c r="L1280" s="31"/>
      <c r="M1280" s="31"/>
      <c r="N1280" s="33"/>
      <c r="O1280" s="31"/>
    </row>
    <row r="1281" spans="1:15" ht="15" customHeight="1">
      <c r="A1281" s="31"/>
      <c r="B1281" s="31"/>
      <c r="C1281" s="32"/>
      <c r="D1281" s="31"/>
      <c r="E1281" s="31"/>
      <c r="F1281" s="31"/>
      <c r="G1281" s="31"/>
      <c r="H1281" s="31"/>
      <c r="I1281" s="31"/>
      <c r="J1281" s="31"/>
      <c r="K1281" s="31"/>
      <c r="L1281" s="31"/>
      <c r="M1281" s="31"/>
      <c r="N1281" s="33"/>
      <c r="O1281" s="31"/>
    </row>
    <row r="1282" spans="1:15" ht="15" customHeight="1">
      <c r="A1282" s="31"/>
      <c r="B1282" s="31"/>
      <c r="C1282" s="32"/>
      <c r="D1282" s="31"/>
      <c r="E1282" s="31"/>
      <c r="F1282" s="31"/>
      <c r="G1282" s="31"/>
      <c r="H1282" s="31"/>
      <c r="I1282" s="31"/>
      <c r="J1282" s="31"/>
      <c r="K1282" s="31"/>
      <c r="L1282" s="31"/>
      <c r="M1282" s="31"/>
      <c r="N1282" s="33"/>
      <c r="O1282" s="31"/>
    </row>
    <row r="1283" spans="1:15" ht="15" customHeight="1">
      <c r="A1283" s="31"/>
      <c r="B1283" s="31"/>
      <c r="C1283" s="32"/>
      <c r="D1283" s="31"/>
      <c r="E1283" s="31"/>
      <c r="F1283" s="31"/>
      <c r="G1283" s="31"/>
      <c r="H1283" s="31"/>
      <c r="I1283" s="31"/>
      <c r="J1283" s="31"/>
      <c r="K1283" s="31"/>
      <c r="L1283" s="31"/>
      <c r="M1283" s="31"/>
      <c r="N1283" s="33"/>
      <c r="O1283" s="31"/>
    </row>
    <row r="1284" spans="1:15" ht="15" customHeight="1">
      <c r="A1284" s="31"/>
      <c r="B1284" s="31"/>
      <c r="C1284" s="32"/>
      <c r="D1284" s="31"/>
      <c r="E1284" s="31"/>
      <c r="F1284" s="31"/>
      <c r="G1284" s="31"/>
      <c r="H1284" s="31"/>
      <c r="I1284" s="31"/>
      <c r="J1284" s="31"/>
      <c r="K1284" s="31"/>
      <c r="L1284" s="31"/>
      <c r="M1284" s="31"/>
      <c r="N1284" s="33"/>
      <c r="O1284" s="31"/>
    </row>
    <row r="1285" spans="1:15" ht="15" customHeight="1">
      <c r="A1285" s="31"/>
      <c r="B1285" s="31"/>
      <c r="C1285" s="32"/>
      <c r="D1285" s="31"/>
      <c r="E1285" s="31"/>
      <c r="F1285" s="31"/>
      <c r="G1285" s="31"/>
      <c r="H1285" s="31"/>
      <c r="I1285" s="31"/>
      <c r="J1285" s="31"/>
      <c r="K1285" s="31"/>
      <c r="L1285" s="31"/>
      <c r="M1285" s="31"/>
      <c r="N1285" s="33"/>
      <c r="O1285" s="31"/>
    </row>
    <row r="1286" spans="1:15" ht="15" customHeight="1">
      <c r="A1286" s="31"/>
      <c r="B1286" s="31"/>
      <c r="C1286" s="32"/>
      <c r="D1286" s="31"/>
      <c r="E1286" s="31"/>
      <c r="F1286" s="31"/>
      <c r="G1286" s="31"/>
      <c r="H1286" s="31"/>
      <c r="I1286" s="31"/>
      <c r="J1286" s="31"/>
      <c r="K1286" s="31"/>
      <c r="L1286" s="31"/>
      <c r="M1286" s="31"/>
      <c r="N1286" s="33"/>
      <c r="O1286" s="31"/>
    </row>
    <row r="1287" spans="1:15" ht="15" customHeight="1">
      <c r="A1287" s="31"/>
      <c r="B1287" s="31"/>
      <c r="C1287" s="32"/>
      <c r="D1287" s="31"/>
      <c r="E1287" s="31"/>
      <c r="F1287" s="31"/>
      <c r="G1287" s="31"/>
      <c r="H1287" s="31"/>
      <c r="I1287" s="31"/>
      <c r="J1287" s="31"/>
      <c r="K1287" s="31"/>
      <c r="L1287" s="31"/>
      <c r="M1287" s="31"/>
      <c r="N1287" s="33"/>
      <c r="O1287" s="31"/>
    </row>
    <row r="1288" spans="1:15" ht="15" customHeight="1">
      <c r="A1288" s="31"/>
      <c r="B1288" s="31"/>
      <c r="C1288" s="32"/>
      <c r="D1288" s="31"/>
      <c r="E1288" s="31"/>
      <c r="F1288" s="31"/>
      <c r="G1288" s="31"/>
      <c r="H1288" s="31"/>
      <c r="I1288" s="31"/>
      <c r="J1288" s="31"/>
      <c r="K1288" s="31"/>
      <c r="L1288" s="31"/>
      <c r="M1288" s="31"/>
      <c r="N1288" s="33"/>
      <c r="O1288" s="31"/>
    </row>
    <row r="1289" spans="1:15" ht="15" customHeight="1">
      <c r="A1289" s="31"/>
      <c r="B1289" s="31"/>
      <c r="C1289" s="32"/>
      <c r="D1289" s="31"/>
      <c r="E1289" s="31"/>
      <c r="F1289" s="31"/>
      <c r="G1289" s="31"/>
      <c r="H1289" s="31"/>
      <c r="I1289" s="31"/>
      <c r="J1289" s="31"/>
      <c r="K1289" s="31"/>
      <c r="L1289" s="31"/>
      <c r="M1289" s="31"/>
      <c r="N1289" s="33"/>
      <c r="O1289" s="31"/>
    </row>
    <row r="1290" spans="1:15" ht="15" customHeight="1">
      <c r="A1290" s="31"/>
      <c r="B1290" s="31"/>
      <c r="C1290" s="32"/>
      <c r="D1290" s="31"/>
      <c r="E1290" s="31"/>
      <c r="F1290" s="31"/>
      <c r="G1290" s="31"/>
      <c r="H1290" s="31"/>
      <c r="I1290" s="31"/>
      <c r="J1290" s="31"/>
      <c r="K1290" s="31"/>
      <c r="L1290" s="31"/>
      <c r="M1290" s="31"/>
      <c r="N1290" s="33"/>
      <c r="O1290" s="31"/>
    </row>
    <row r="1291" spans="1:15" ht="15" customHeight="1">
      <c r="A1291" s="31"/>
      <c r="B1291" s="31"/>
      <c r="C1291" s="32"/>
      <c r="D1291" s="31"/>
      <c r="E1291" s="31"/>
      <c r="F1291" s="31"/>
      <c r="G1291" s="31"/>
      <c r="H1291" s="31"/>
      <c r="I1291" s="31"/>
      <c r="J1291" s="31"/>
      <c r="K1291" s="31"/>
      <c r="L1291" s="31"/>
      <c r="M1291" s="31"/>
      <c r="N1291" s="33"/>
      <c r="O1291" s="31"/>
    </row>
    <row r="1292" spans="1:15" ht="15" customHeight="1">
      <c r="A1292" s="31"/>
      <c r="B1292" s="31"/>
      <c r="C1292" s="32"/>
      <c r="D1292" s="31"/>
      <c r="E1292" s="31"/>
      <c r="F1292" s="31"/>
      <c r="G1292" s="31"/>
      <c r="H1292" s="31"/>
      <c r="I1292" s="31"/>
      <c r="J1292" s="31"/>
      <c r="K1292" s="31"/>
      <c r="L1292" s="31"/>
      <c r="M1292" s="31"/>
      <c r="N1292" s="33"/>
      <c r="O1292" s="31"/>
    </row>
    <row r="1293" spans="1:15" ht="15" customHeight="1">
      <c r="A1293" s="31"/>
      <c r="B1293" s="31"/>
      <c r="C1293" s="32"/>
      <c r="D1293" s="31"/>
      <c r="E1293" s="31"/>
      <c r="F1293" s="31"/>
      <c r="G1293" s="31"/>
      <c r="H1293" s="31"/>
      <c r="I1293" s="31"/>
      <c r="J1293" s="31"/>
      <c r="K1293" s="31"/>
      <c r="L1293" s="31"/>
      <c r="M1293" s="31"/>
      <c r="N1293" s="33"/>
      <c r="O1293" s="31"/>
    </row>
    <row r="1294" spans="1:15" ht="15" customHeight="1">
      <c r="A1294" s="31"/>
      <c r="B1294" s="31"/>
      <c r="C1294" s="32"/>
      <c r="D1294" s="31"/>
      <c r="E1294" s="31"/>
      <c r="F1294" s="31"/>
      <c r="G1294" s="31"/>
      <c r="H1294" s="31"/>
      <c r="I1294" s="31"/>
      <c r="J1294" s="31"/>
      <c r="K1294" s="31"/>
      <c r="L1294" s="31"/>
      <c r="M1294" s="31"/>
      <c r="N1294" s="33"/>
      <c r="O1294" s="31"/>
    </row>
    <row r="1295" spans="1:15" ht="15" customHeight="1">
      <c r="A1295" s="31"/>
      <c r="B1295" s="31"/>
      <c r="C1295" s="32"/>
      <c r="D1295" s="31"/>
      <c r="E1295" s="31"/>
      <c r="F1295" s="31"/>
      <c r="G1295" s="31"/>
      <c r="H1295" s="31"/>
      <c r="I1295" s="31"/>
      <c r="J1295" s="31"/>
      <c r="K1295" s="31"/>
      <c r="L1295" s="31"/>
      <c r="M1295" s="31"/>
      <c r="N1295" s="33"/>
      <c r="O1295" s="31"/>
    </row>
    <row r="1296" spans="1:15" ht="15" customHeight="1">
      <c r="A1296" s="31"/>
      <c r="B1296" s="31"/>
      <c r="C1296" s="32"/>
      <c r="D1296" s="31"/>
      <c r="E1296" s="31"/>
      <c r="F1296" s="31"/>
      <c r="G1296" s="31"/>
      <c r="H1296" s="31"/>
      <c r="I1296" s="31"/>
      <c r="J1296" s="31"/>
      <c r="K1296" s="31"/>
      <c r="L1296" s="31"/>
      <c r="M1296" s="31"/>
      <c r="N1296" s="33"/>
      <c r="O1296" s="31"/>
    </row>
    <row r="1297" spans="1:15" ht="15" customHeight="1">
      <c r="A1297" s="31"/>
      <c r="B1297" s="31"/>
      <c r="C1297" s="32"/>
      <c r="D1297" s="31"/>
      <c r="E1297" s="31"/>
      <c r="F1297" s="31"/>
      <c r="G1297" s="31"/>
      <c r="H1297" s="31"/>
      <c r="I1297" s="31"/>
      <c r="J1297" s="31"/>
      <c r="K1297" s="31"/>
      <c r="L1297" s="31"/>
      <c r="M1297" s="31"/>
      <c r="N1297" s="33"/>
      <c r="O1297" s="31"/>
    </row>
    <row r="1298" spans="1:15" ht="15" customHeight="1">
      <c r="A1298" s="31"/>
      <c r="B1298" s="31"/>
      <c r="C1298" s="32"/>
      <c r="D1298" s="31"/>
      <c r="E1298" s="31"/>
      <c r="F1298" s="31"/>
      <c r="G1298" s="31"/>
      <c r="H1298" s="31"/>
      <c r="I1298" s="31"/>
      <c r="J1298" s="31"/>
      <c r="K1298" s="31"/>
      <c r="L1298" s="31"/>
      <c r="M1298" s="31"/>
      <c r="N1298" s="33"/>
      <c r="O1298" s="31"/>
    </row>
    <row r="1299" spans="1:15" ht="15" customHeight="1">
      <c r="A1299" s="31"/>
      <c r="B1299" s="31"/>
      <c r="C1299" s="32"/>
      <c r="D1299" s="31"/>
      <c r="E1299" s="31"/>
      <c r="F1299" s="31"/>
      <c r="G1299" s="31"/>
      <c r="H1299" s="31"/>
      <c r="I1299" s="31"/>
      <c r="J1299" s="31"/>
      <c r="K1299" s="31"/>
      <c r="L1299" s="31"/>
      <c r="M1299" s="31"/>
      <c r="N1299" s="33"/>
      <c r="O1299" s="31"/>
    </row>
    <row r="1300" spans="1:15" ht="15" customHeight="1">
      <c r="A1300" s="31"/>
      <c r="B1300" s="31"/>
      <c r="C1300" s="32"/>
      <c r="D1300" s="31"/>
      <c r="E1300" s="31"/>
      <c r="F1300" s="31"/>
      <c r="G1300" s="31"/>
      <c r="H1300" s="31"/>
      <c r="I1300" s="31"/>
      <c r="J1300" s="31"/>
      <c r="K1300" s="31"/>
      <c r="L1300" s="31"/>
      <c r="M1300" s="31"/>
      <c r="N1300" s="33"/>
      <c r="O1300" s="31"/>
    </row>
    <row r="1301" spans="1:15" ht="15" customHeight="1">
      <c r="A1301" s="31"/>
      <c r="B1301" s="31"/>
      <c r="C1301" s="32"/>
      <c r="D1301" s="31"/>
      <c r="E1301" s="31"/>
      <c r="F1301" s="31"/>
      <c r="G1301" s="31"/>
      <c r="H1301" s="31"/>
      <c r="I1301" s="31"/>
      <c r="J1301" s="31"/>
      <c r="K1301" s="31"/>
      <c r="L1301" s="31"/>
      <c r="M1301" s="31"/>
      <c r="N1301" s="33"/>
      <c r="O1301" s="31"/>
    </row>
    <row r="1302" spans="1:15" ht="15" customHeight="1">
      <c r="A1302" s="31"/>
      <c r="B1302" s="31"/>
      <c r="C1302" s="32"/>
      <c r="D1302" s="31"/>
      <c r="E1302" s="31"/>
      <c r="F1302" s="31"/>
      <c r="G1302" s="31"/>
      <c r="H1302" s="31"/>
      <c r="I1302" s="31"/>
      <c r="J1302" s="31"/>
      <c r="K1302" s="31"/>
      <c r="L1302" s="31"/>
      <c r="M1302" s="31"/>
      <c r="N1302" s="33"/>
      <c r="O1302" s="31"/>
    </row>
    <row r="1303" spans="1:15" ht="15" customHeight="1">
      <c r="A1303" s="31"/>
      <c r="B1303" s="31"/>
      <c r="C1303" s="32"/>
      <c r="D1303" s="31"/>
      <c r="E1303" s="31"/>
      <c r="F1303" s="31"/>
      <c r="G1303" s="31"/>
      <c r="H1303" s="31"/>
      <c r="I1303" s="31"/>
      <c r="J1303" s="31"/>
      <c r="K1303" s="31"/>
      <c r="L1303" s="31"/>
      <c r="M1303" s="31"/>
      <c r="N1303" s="33"/>
      <c r="O1303" s="31"/>
    </row>
    <row r="1304" spans="1:15" ht="15" customHeight="1">
      <c r="A1304" s="31"/>
      <c r="B1304" s="31"/>
      <c r="C1304" s="32"/>
      <c r="D1304" s="31"/>
      <c r="E1304" s="31"/>
      <c r="F1304" s="31"/>
      <c r="G1304" s="31"/>
      <c r="H1304" s="31"/>
      <c r="I1304" s="31"/>
      <c r="J1304" s="31"/>
      <c r="K1304" s="31"/>
      <c r="L1304" s="31"/>
      <c r="M1304" s="31"/>
      <c r="N1304" s="33"/>
      <c r="O1304" s="31"/>
    </row>
    <row r="1305" spans="1:15" ht="15" customHeight="1">
      <c r="A1305" s="31"/>
      <c r="B1305" s="31"/>
      <c r="C1305" s="32"/>
      <c r="D1305" s="31"/>
      <c r="E1305" s="31"/>
      <c r="F1305" s="31"/>
      <c r="G1305" s="31"/>
      <c r="H1305" s="31"/>
      <c r="I1305" s="31"/>
      <c r="J1305" s="31"/>
      <c r="K1305" s="31"/>
      <c r="L1305" s="31"/>
      <c r="M1305" s="31"/>
      <c r="N1305" s="33"/>
      <c r="O1305" s="31"/>
    </row>
    <row r="1306" spans="1:15" ht="15" customHeight="1">
      <c r="A1306" s="31"/>
      <c r="B1306" s="31"/>
      <c r="C1306" s="32"/>
      <c r="D1306" s="31"/>
      <c r="E1306" s="31"/>
      <c r="F1306" s="31"/>
      <c r="G1306" s="31"/>
      <c r="H1306" s="31"/>
      <c r="I1306" s="31"/>
      <c r="J1306" s="31"/>
      <c r="K1306" s="31"/>
      <c r="L1306" s="31"/>
      <c r="M1306" s="31"/>
      <c r="N1306" s="33"/>
      <c r="O1306" s="31"/>
    </row>
    <row r="1307" spans="1:15" ht="15" customHeight="1">
      <c r="A1307" s="31"/>
      <c r="B1307" s="31"/>
      <c r="C1307" s="32"/>
      <c r="D1307" s="31"/>
      <c r="E1307" s="31"/>
      <c r="F1307" s="31"/>
      <c r="G1307" s="31"/>
      <c r="H1307" s="31"/>
      <c r="I1307" s="31"/>
      <c r="J1307" s="31"/>
      <c r="K1307" s="31"/>
      <c r="L1307" s="31"/>
      <c r="M1307" s="31"/>
      <c r="N1307" s="33"/>
      <c r="O1307" s="31"/>
    </row>
    <row r="1308" spans="1:15" ht="15" customHeight="1">
      <c r="A1308" s="31"/>
      <c r="B1308" s="31"/>
      <c r="C1308" s="32"/>
      <c r="D1308" s="31"/>
      <c r="E1308" s="31"/>
      <c r="F1308" s="31"/>
      <c r="G1308" s="31"/>
      <c r="H1308" s="31"/>
      <c r="I1308" s="31"/>
      <c r="J1308" s="31"/>
      <c r="K1308" s="31"/>
      <c r="L1308" s="31"/>
      <c r="M1308" s="31"/>
      <c r="N1308" s="33"/>
      <c r="O1308" s="31"/>
    </row>
    <row r="1309" spans="1:15" ht="15" customHeight="1">
      <c r="A1309" s="31"/>
      <c r="B1309" s="31"/>
      <c r="C1309" s="32"/>
      <c r="D1309" s="31"/>
      <c r="E1309" s="31"/>
      <c r="F1309" s="31"/>
      <c r="G1309" s="31"/>
      <c r="H1309" s="31"/>
      <c r="I1309" s="31"/>
      <c r="J1309" s="31"/>
      <c r="K1309" s="31"/>
      <c r="L1309" s="31"/>
      <c r="M1309" s="31"/>
      <c r="N1309" s="33"/>
      <c r="O1309" s="31"/>
    </row>
    <row r="1310" spans="1:15" ht="15" customHeight="1">
      <c r="A1310" s="31"/>
      <c r="B1310" s="31"/>
      <c r="C1310" s="32"/>
      <c r="D1310" s="31"/>
      <c r="E1310" s="31"/>
      <c r="F1310" s="31"/>
      <c r="G1310" s="31"/>
      <c r="H1310" s="31"/>
      <c r="I1310" s="31"/>
      <c r="J1310" s="31"/>
      <c r="K1310" s="31"/>
      <c r="L1310" s="31"/>
      <c r="M1310" s="31"/>
      <c r="N1310" s="33"/>
      <c r="O1310" s="31"/>
    </row>
    <row r="1311" spans="1:15" ht="15" customHeight="1">
      <c r="A1311" s="31"/>
      <c r="B1311" s="31"/>
      <c r="C1311" s="32"/>
      <c r="D1311" s="31"/>
      <c r="E1311" s="31"/>
      <c r="F1311" s="31"/>
      <c r="G1311" s="31"/>
      <c r="H1311" s="31"/>
      <c r="I1311" s="31"/>
      <c r="J1311" s="31"/>
      <c r="K1311" s="31"/>
      <c r="L1311" s="31"/>
      <c r="M1311" s="31"/>
      <c r="N1311" s="33"/>
      <c r="O1311" s="31"/>
    </row>
    <row r="1312" spans="1:15" ht="15" customHeight="1">
      <c r="A1312" s="31"/>
      <c r="B1312" s="31"/>
      <c r="C1312" s="32"/>
      <c r="D1312" s="31"/>
      <c r="E1312" s="31"/>
      <c r="F1312" s="31"/>
      <c r="G1312" s="31"/>
      <c r="H1312" s="31"/>
      <c r="I1312" s="31"/>
      <c r="J1312" s="31"/>
      <c r="K1312" s="31"/>
      <c r="L1312" s="31"/>
      <c r="M1312" s="31"/>
      <c r="N1312" s="33"/>
      <c r="O1312" s="31"/>
    </row>
    <row r="1313" spans="1:15" ht="15" customHeight="1">
      <c r="A1313" s="31"/>
      <c r="B1313" s="31"/>
      <c r="C1313" s="32"/>
      <c r="D1313" s="31"/>
      <c r="E1313" s="31"/>
      <c r="F1313" s="31"/>
      <c r="G1313" s="31"/>
      <c r="H1313" s="31"/>
      <c r="I1313" s="31"/>
      <c r="J1313" s="31"/>
      <c r="K1313" s="31"/>
      <c r="L1313" s="31"/>
      <c r="M1313" s="31"/>
      <c r="N1313" s="33"/>
      <c r="O1313" s="31"/>
    </row>
    <row r="1314" spans="1:15" ht="15" customHeight="1">
      <c r="A1314" s="31"/>
      <c r="B1314" s="31"/>
      <c r="C1314" s="32"/>
      <c r="D1314" s="31"/>
      <c r="E1314" s="31"/>
      <c r="F1314" s="31"/>
      <c r="G1314" s="31"/>
      <c r="H1314" s="31"/>
      <c r="I1314" s="31"/>
      <c r="J1314" s="31"/>
      <c r="K1314" s="31"/>
      <c r="L1314" s="31"/>
      <c r="M1314" s="31"/>
      <c r="N1314" s="33"/>
      <c r="O1314" s="31"/>
    </row>
    <row r="1315" spans="1:15" ht="15" customHeight="1">
      <c r="A1315" s="31"/>
      <c r="B1315" s="31"/>
      <c r="C1315" s="32"/>
      <c r="D1315" s="31"/>
      <c r="E1315" s="31"/>
      <c r="F1315" s="31"/>
      <c r="G1315" s="31"/>
      <c r="H1315" s="31"/>
      <c r="I1315" s="31"/>
      <c r="J1315" s="31"/>
      <c r="K1315" s="31"/>
      <c r="L1315" s="31"/>
      <c r="M1315" s="31"/>
      <c r="N1315" s="33"/>
      <c r="O1315" s="31"/>
    </row>
    <row r="1316" spans="1:15" ht="15" customHeight="1">
      <c r="A1316" s="31"/>
      <c r="B1316" s="31"/>
      <c r="C1316" s="32"/>
      <c r="D1316" s="31"/>
      <c r="E1316" s="31"/>
      <c r="F1316" s="31"/>
      <c r="G1316" s="31"/>
      <c r="H1316" s="31"/>
      <c r="I1316" s="31"/>
      <c r="J1316" s="31"/>
      <c r="K1316" s="31"/>
      <c r="L1316" s="31"/>
      <c r="M1316" s="31"/>
      <c r="N1316" s="33"/>
      <c r="O1316" s="31"/>
    </row>
    <row r="1317" spans="1:15" ht="15" customHeight="1">
      <c r="A1317" s="31"/>
      <c r="B1317" s="31"/>
      <c r="C1317" s="32"/>
      <c r="D1317" s="31"/>
      <c r="E1317" s="31"/>
      <c r="F1317" s="31"/>
      <c r="G1317" s="31"/>
      <c r="H1317" s="31"/>
      <c r="I1317" s="31"/>
      <c r="J1317" s="31"/>
      <c r="K1317" s="31"/>
      <c r="L1317" s="31"/>
      <c r="M1317" s="31"/>
      <c r="N1317" s="33"/>
      <c r="O1317" s="31"/>
    </row>
    <row r="1318" spans="1:15" ht="15" customHeight="1">
      <c r="A1318" s="31"/>
      <c r="B1318" s="31"/>
      <c r="C1318" s="32"/>
      <c r="D1318" s="31"/>
      <c r="E1318" s="31"/>
      <c r="F1318" s="31"/>
      <c r="G1318" s="31"/>
      <c r="H1318" s="31"/>
      <c r="I1318" s="31"/>
      <c r="J1318" s="31"/>
      <c r="K1318" s="31"/>
      <c r="L1318" s="31"/>
      <c r="M1318" s="31"/>
      <c r="N1318" s="33"/>
      <c r="O1318" s="31"/>
    </row>
    <row r="1319" spans="1:15" ht="15" customHeight="1">
      <c r="A1319" s="31"/>
      <c r="B1319" s="31"/>
      <c r="C1319" s="32"/>
      <c r="D1319" s="31"/>
      <c r="E1319" s="31"/>
      <c r="F1319" s="31"/>
      <c r="G1319" s="31"/>
      <c r="H1319" s="31"/>
      <c r="I1319" s="31"/>
      <c r="J1319" s="31"/>
      <c r="K1319" s="31"/>
      <c r="L1319" s="31"/>
      <c r="M1319" s="31"/>
      <c r="N1319" s="33"/>
      <c r="O1319" s="31"/>
    </row>
    <row r="1320" spans="1:15" ht="15" customHeight="1">
      <c r="A1320" s="31"/>
      <c r="B1320" s="31"/>
      <c r="C1320" s="32"/>
      <c r="D1320" s="31"/>
      <c r="E1320" s="31"/>
      <c r="F1320" s="31"/>
      <c r="G1320" s="31"/>
      <c r="H1320" s="31"/>
      <c r="I1320" s="31"/>
      <c r="J1320" s="31"/>
      <c r="K1320" s="31"/>
      <c r="L1320" s="31"/>
      <c r="M1320" s="31"/>
      <c r="N1320" s="33"/>
      <c r="O1320" s="31"/>
    </row>
    <row r="1321" spans="1:15" ht="15" customHeight="1">
      <c r="A1321" s="31"/>
      <c r="B1321" s="31"/>
      <c r="C1321" s="32"/>
      <c r="D1321" s="31"/>
      <c r="E1321" s="31"/>
      <c r="F1321" s="31"/>
      <c r="G1321" s="31"/>
      <c r="H1321" s="31"/>
      <c r="I1321" s="31"/>
      <c r="J1321" s="31"/>
      <c r="K1321" s="31"/>
      <c r="L1321" s="31"/>
      <c r="M1321" s="31"/>
      <c r="N1321" s="33"/>
      <c r="O1321" s="31"/>
    </row>
    <row r="1322" spans="1:15" ht="15" customHeight="1">
      <c r="A1322" s="31"/>
      <c r="B1322" s="31"/>
      <c r="C1322" s="32"/>
      <c r="D1322" s="31"/>
      <c r="E1322" s="31"/>
      <c r="F1322" s="31"/>
      <c r="G1322" s="31"/>
      <c r="H1322" s="31"/>
      <c r="I1322" s="31"/>
      <c r="J1322" s="31"/>
      <c r="K1322" s="31"/>
      <c r="L1322" s="31"/>
      <c r="M1322" s="31"/>
      <c r="N1322" s="33"/>
      <c r="O1322" s="31"/>
    </row>
    <row r="1323" spans="1:15" ht="15" customHeight="1">
      <c r="A1323" s="31"/>
      <c r="B1323" s="31"/>
      <c r="C1323" s="32"/>
      <c r="D1323" s="31"/>
      <c r="E1323" s="31"/>
      <c r="F1323" s="31"/>
      <c r="G1323" s="31"/>
      <c r="H1323" s="31"/>
      <c r="I1323" s="31"/>
      <c r="J1323" s="31"/>
      <c r="K1323" s="31"/>
      <c r="L1323" s="31"/>
      <c r="M1323" s="31"/>
      <c r="N1323" s="33"/>
      <c r="O1323" s="31"/>
    </row>
    <row r="1324" spans="1:15" ht="15" customHeight="1">
      <c r="A1324" s="31"/>
      <c r="B1324" s="31"/>
      <c r="C1324" s="32"/>
      <c r="D1324" s="31"/>
      <c r="E1324" s="31"/>
      <c r="F1324" s="31"/>
      <c r="G1324" s="31"/>
      <c r="H1324" s="31"/>
      <c r="I1324" s="31"/>
      <c r="J1324" s="31"/>
      <c r="K1324" s="31"/>
      <c r="L1324" s="31"/>
      <c r="M1324" s="31"/>
      <c r="N1324" s="33"/>
      <c r="O1324" s="31"/>
    </row>
    <row r="1325" spans="1:15" ht="15" customHeight="1">
      <c r="A1325" s="31"/>
      <c r="B1325" s="31"/>
      <c r="C1325" s="32"/>
      <c r="D1325" s="31"/>
      <c r="E1325" s="31"/>
      <c r="F1325" s="31"/>
      <c r="G1325" s="31"/>
      <c r="H1325" s="31"/>
      <c r="I1325" s="31"/>
      <c r="J1325" s="31"/>
      <c r="K1325" s="31"/>
      <c r="L1325" s="31"/>
      <c r="M1325" s="31"/>
      <c r="N1325" s="33"/>
      <c r="O1325" s="31"/>
    </row>
    <row r="1326" spans="1:15" ht="15" customHeight="1">
      <c r="A1326" s="31"/>
      <c r="B1326" s="31"/>
      <c r="C1326" s="32"/>
      <c r="D1326" s="31"/>
      <c r="E1326" s="31"/>
      <c r="F1326" s="31"/>
      <c r="G1326" s="31"/>
      <c r="H1326" s="31"/>
      <c r="I1326" s="31"/>
      <c r="J1326" s="31"/>
      <c r="K1326" s="31"/>
      <c r="L1326" s="31"/>
      <c r="M1326" s="31"/>
      <c r="N1326" s="33"/>
      <c r="O1326" s="31"/>
    </row>
    <row r="1327" spans="1:15" ht="15" customHeight="1">
      <c r="A1327" s="31"/>
      <c r="B1327" s="31"/>
      <c r="C1327" s="32"/>
      <c r="D1327" s="31"/>
      <c r="E1327" s="31"/>
      <c r="F1327" s="31"/>
      <c r="G1327" s="31"/>
      <c r="H1327" s="31"/>
      <c r="I1327" s="31"/>
      <c r="J1327" s="31"/>
      <c r="K1327" s="31"/>
      <c r="L1327" s="31"/>
      <c r="M1327" s="31"/>
      <c r="N1327" s="33"/>
      <c r="O1327" s="31"/>
    </row>
    <row r="1328" spans="1:15" ht="15" customHeight="1">
      <c r="A1328" s="31"/>
      <c r="B1328" s="31"/>
      <c r="C1328" s="32"/>
      <c r="D1328" s="31"/>
      <c r="E1328" s="31"/>
      <c r="F1328" s="31"/>
      <c r="G1328" s="31"/>
      <c r="H1328" s="31"/>
      <c r="I1328" s="31"/>
      <c r="J1328" s="31"/>
      <c r="K1328" s="31"/>
      <c r="L1328" s="31"/>
      <c r="M1328" s="31"/>
      <c r="N1328" s="33"/>
      <c r="O1328" s="31"/>
    </row>
    <row r="1329" spans="1:15" ht="15" customHeight="1">
      <c r="A1329" s="31"/>
      <c r="B1329" s="31"/>
      <c r="C1329" s="32"/>
      <c r="D1329" s="31"/>
      <c r="E1329" s="31"/>
      <c r="F1329" s="31"/>
      <c r="G1329" s="31"/>
      <c r="H1329" s="31"/>
      <c r="I1329" s="31"/>
      <c r="J1329" s="31"/>
      <c r="K1329" s="31"/>
      <c r="L1329" s="31"/>
      <c r="M1329" s="31"/>
      <c r="N1329" s="33"/>
      <c r="O1329" s="31"/>
    </row>
    <row r="1330" spans="1:15" ht="15" customHeight="1">
      <c r="A1330" s="31"/>
      <c r="B1330" s="31"/>
      <c r="C1330" s="32"/>
      <c r="D1330" s="31"/>
      <c r="E1330" s="31"/>
      <c r="F1330" s="31"/>
      <c r="G1330" s="31"/>
      <c r="H1330" s="31"/>
      <c r="I1330" s="31"/>
      <c r="J1330" s="31"/>
      <c r="K1330" s="31"/>
      <c r="L1330" s="31"/>
      <c r="M1330" s="31"/>
      <c r="N1330" s="33"/>
      <c r="O1330" s="31"/>
    </row>
    <row r="1331" spans="1:15" ht="15" customHeight="1">
      <c r="A1331" s="31"/>
      <c r="B1331" s="31"/>
      <c r="C1331" s="32"/>
      <c r="D1331" s="31"/>
      <c r="E1331" s="31"/>
      <c r="F1331" s="31"/>
      <c r="G1331" s="31"/>
      <c r="H1331" s="31"/>
      <c r="I1331" s="31"/>
      <c r="J1331" s="31"/>
      <c r="K1331" s="31"/>
      <c r="L1331" s="31"/>
      <c r="M1331" s="31"/>
      <c r="N1331" s="33"/>
      <c r="O1331" s="31"/>
    </row>
    <row r="1332" spans="1:15" ht="15" customHeight="1">
      <c r="A1332" s="31"/>
      <c r="B1332" s="31"/>
      <c r="C1332" s="32"/>
      <c r="D1332" s="31"/>
      <c r="E1332" s="31"/>
      <c r="F1332" s="31"/>
      <c r="G1332" s="31"/>
      <c r="H1332" s="31"/>
      <c r="I1332" s="31"/>
      <c r="J1332" s="31"/>
      <c r="K1332" s="31"/>
      <c r="L1332" s="31"/>
      <c r="M1332" s="31"/>
      <c r="N1332" s="33"/>
      <c r="O1332" s="31"/>
    </row>
    <row r="1333" spans="1:15" ht="15" customHeight="1">
      <c r="A1333" s="31"/>
      <c r="B1333" s="31"/>
      <c r="C1333" s="32"/>
      <c r="D1333" s="31"/>
      <c r="E1333" s="31"/>
      <c r="F1333" s="31"/>
      <c r="G1333" s="31"/>
      <c r="H1333" s="31"/>
      <c r="I1333" s="31"/>
      <c r="J1333" s="31"/>
      <c r="K1333" s="31"/>
      <c r="L1333" s="31"/>
      <c r="M1333" s="31"/>
      <c r="N1333" s="33"/>
      <c r="O1333" s="31"/>
    </row>
    <row r="1334" spans="1:15" ht="15" customHeight="1">
      <c r="A1334" s="31"/>
      <c r="B1334" s="31"/>
      <c r="C1334" s="32"/>
      <c r="D1334" s="31"/>
      <c r="E1334" s="31"/>
      <c r="F1334" s="31"/>
      <c r="G1334" s="31"/>
      <c r="H1334" s="31"/>
      <c r="I1334" s="31"/>
      <c r="J1334" s="31"/>
      <c r="K1334" s="31"/>
      <c r="L1334" s="31"/>
      <c r="M1334" s="31"/>
      <c r="N1334" s="33"/>
      <c r="O1334" s="31"/>
    </row>
    <row r="1335" spans="1:15" ht="15" customHeight="1">
      <c r="A1335" s="31"/>
      <c r="B1335" s="31"/>
      <c r="C1335" s="32"/>
      <c r="D1335" s="31"/>
      <c r="E1335" s="31"/>
      <c r="F1335" s="31"/>
      <c r="G1335" s="31"/>
      <c r="H1335" s="31"/>
      <c r="I1335" s="31"/>
      <c r="J1335" s="31"/>
      <c r="K1335" s="31"/>
      <c r="L1335" s="31"/>
      <c r="M1335" s="31"/>
      <c r="N1335" s="33"/>
      <c r="O1335" s="31"/>
    </row>
    <row r="1336" spans="1:15" ht="15" customHeight="1">
      <c r="A1336" s="31"/>
      <c r="B1336" s="31"/>
      <c r="C1336" s="32"/>
      <c r="D1336" s="31"/>
      <c r="E1336" s="31"/>
      <c r="F1336" s="31"/>
      <c r="G1336" s="31"/>
      <c r="H1336" s="31"/>
      <c r="I1336" s="31"/>
      <c r="J1336" s="31"/>
      <c r="K1336" s="31"/>
      <c r="L1336" s="31"/>
      <c r="M1336" s="31"/>
      <c r="N1336" s="33"/>
      <c r="O1336" s="31"/>
    </row>
    <row r="1337" spans="1:15" ht="15" customHeight="1">
      <c r="A1337" s="31"/>
      <c r="B1337" s="31"/>
      <c r="C1337" s="32"/>
      <c r="D1337" s="31"/>
      <c r="E1337" s="31"/>
      <c r="F1337" s="31"/>
      <c r="G1337" s="31"/>
      <c r="H1337" s="31"/>
      <c r="I1337" s="31"/>
      <c r="J1337" s="31"/>
      <c r="K1337" s="31"/>
      <c r="L1337" s="31"/>
      <c r="M1337" s="31"/>
      <c r="N1337" s="33"/>
      <c r="O1337" s="31"/>
    </row>
    <row r="1338" spans="1:15" ht="15" customHeight="1">
      <c r="A1338" s="31"/>
      <c r="B1338" s="31"/>
      <c r="C1338" s="32"/>
      <c r="D1338" s="31"/>
      <c r="E1338" s="31"/>
      <c r="F1338" s="31"/>
      <c r="G1338" s="31"/>
      <c r="H1338" s="31"/>
      <c r="I1338" s="31"/>
      <c r="J1338" s="31"/>
      <c r="K1338" s="31"/>
      <c r="L1338" s="31"/>
      <c r="M1338" s="31"/>
      <c r="N1338" s="33"/>
      <c r="O1338" s="31"/>
    </row>
    <row r="1339" spans="1:15" ht="15" customHeight="1">
      <c r="A1339" s="31"/>
      <c r="B1339" s="31"/>
      <c r="C1339" s="32"/>
      <c r="D1339" s="31"/>
      <c r="E1339" s="31"/>
      <c r="F1339" s="31"/>
      <c r="G1339" s="31"/>
      <c r="H1339" s="31"/>
      <c r="I1339" s="31"/>
      <c r="J1339" s="31"/>
      <c r="K1339" s="31"/>
      <c r="L1339" s="31"/>
      <c r="M1339" s="31"/>
      <c r="N1339" s="33"/>
      <c r="O1339" s="31"/>
    </row>
    <row r="1340" spans="1:15" ht="15" customHeight="1">
      <c r="A1340" s="31"/>
      <c r="B1340" s="31"/>
      <c r="C1340" s="32"/>
      <c r="D1340" s="31"/>
      <c r="E1340" s="31"/>
      <c r="F1340" s="31"/>
      <c r="G1340" s="31"/>
      <c r="H1340" s="31"/>
      <c r="I1340" s="31"/>
      <c r="J1340" s="31"/>
      <c r="K1340" s="31"/>
      <c r="L1340" s="31"/>
      <c r="M1340" s="31"/>
      <c r="N1340" s="33"/>
      <c r="O1340" s="31"/>
    </row>
    <row r="1341" spans="1:15" ht="15" customHeight="1">
      <c r="A1341" s="31"/>
      <c r="B1341" s="31"/>
      <c r="C1341" s="32"/>
      <c r="D1341" s="31"/>
      <c r="E1341" s="31"/>
      <c r="F1341" s="31"/>
      <c r="G1341" s="31"/>
      <c r="H1341" s="31"/>
      <c r="I1341" s="31"/>
      <c r="J1341" s="31"/>
      <c r="K1341" s="31"/>
      <c r="L1341" s="31"/>
      <c r="M1341" s="31"/>
      <c r="N1341" s="33"/>
      <c r="O1341" s="31"/>
    </row>
    <row r="1342" spans="1:15" ht="15" customHeight="1">
      <c r="A1342" s="31"/>
      <c r="B1342" s="31"/>
      <c r="C1342" s="32"/>
      <c r="D1342" s="31"/>
      <c r="E1342" s="31"/>
      <c r="F1342" s="31"/>
      <c r="G1342" s="31"/>
      <c r="H1342" s="31"/>
      <c r="I1342" s="31"/>
      <c r="J1342" s="31"/>
      <c r="K1342" s="31"/>
      <c r="L1342" s="31"/>
      <c r="M1342" s="31"/>
      <c r="N1342" s="33"/>
      <c r="O1342" s="31"/>
    </row>
    <row r="1343" spans="1:15" ht="15" customHeight="1">
      <c r="A1343" s="31"/>
      <c r="B1343" s="31"/>
      <c r="C1343" s="32"/>
      <c r="D1343" s="31"/>
      <c r="E1343" s="31"/>
      <c r="F1343" s="31"/>
      <c r="G1343" s="31"/>
      <c r="H1343" s="31"/>
      <c r="I1343" s="31"/>
      <c r="J1343" s="31"/>
      <c r="K1343" s="31"/>
      <c r="L1343" s="31"/>
      <c r="M1343" s="31"/>
      <c r="N1343" s="33"/>
      <c r="O1343" s="31"/>
    </row>
    <row r="1344" spans="1:15" ht="15" customHeight="1">
      <c r="A1344" s="31"/>
      <c r="B1344" s="31"/>
      <c r="C1344" s="32"/>
      <c r="D1344" s="31"/>
      <c r="E1344" s="31"/>
      <c r="F1344" s="31"/>
      <c r="G1344" s="31"/>
      <c r="H1344" s="31"/>
      <c r="I1344" s="31"/>
      <c r="J1344" s="31"/>
      <c r="K1344" s="31"/>
      <c r="L1344" s="31"/>
      <c r="M1344" s="31"/>
      <c r="N1344" s="33"/>
      <c r="O1344" s="31"/>
    </row>
    <row r="1345" spans="1:15" ht="15" customHeight="1">
      <c r="A1345" s="31"/>
      <c r="B1345" s="31"/>
      <c r="C1345" s="32"/>
      <c r="D1345" s="31"/>
      <c r="E1345" s="31"/>
      <c r="F1345" s="31"/>
      <c r="G1345" s="31"/>
      <c r="H1345" s="31"/>
      <c r="I1345" s="31"/>
      <c r="J1345" s="31"/>
      <c r="K1345" s="31"/>
      <c r="L1345" s="31"/>
      <c r="M1345" s="31"/>
      <c r="N1345" s="33"/>
      <c r="O1345" s="31"/>
    </row>
    <row r="1346" spans="1:15" ht="15" customHeight="1">
      <c r="A1346" s="31"/>
      <c r="B1346" s="31"/>
      <c r="C1346" s="32"/>
      <c r="D1346" s="31"/>
      <c r="E1346" s="31"/>
      <c r="F1346" s="31"/>
      <c r="G1346" s="31"/>
      <c r="H1346" s="31"/>
      <c r="I1346" s="31"/>
      <c r="J1346" s="31"/>
      <c r="K1346" s="31"/>
      <c r="L1346" s="31"/>
      <c r="M1346" s="31"/>
      <c r="N1346" s="33"/>
      <c r="O1346" s="31"/>
    </row>
    <row r="1347" spans="1:15" ht="15" customHeight="1">
      <c r="A1347" s="31"/>
      <c r="B1347" s="31"/>
      <c r="C1347" s="32"/>
      <c r="D1347" s="31"/>
      <c r="E1347" s="31"/>
      <c r="F1347" s="31"/>
      <c r="G1347" s="31"/>
      <c r="H1347" s="31"/>
      <c r="I1347" s="31"/>
      <c r="J1347" s="31"/>
      <c r="K1347" s="31"/>
      <c r="L1347" s="31"/>
      <c r="M1347" s="31"/>
      <c r="N1347" s="33"/>
      <c r="O1347" s="31"/>
    </row>
    <row r="1348" spans="1:15" ht="15" customHeight="1">
      <c r="A1348" s="31"/>
      <c r="B1348" s="31"/>
      <c r="C1348" s="32"/>
      <c r="D1348" s="31"/>
      <c r="E1348" s="31"/>
      <c r="F1348" s="31"/>
      <c r="G1348" s="31"/>
      <c r="H1348" s="31"/>
      <c r="I1348" s="31"/>
      <c r="J1348" s="31"/>
      <c r="K1348" s="31"/>
      <c r="L1348" s="31"/>
      <c r="M1348" s="31"/>
      <c r="N1348" s="33"/>
      <c r="O1348" s="31"/>
    </row>
    <row r="1349" spans="1:15" ht="15" customHeight="1">
      <c r="A1349" s="31"/>
      <c r="B1349" s="31"/>
      <c r="C1349" s="32"/>
      <c r="D1349" s="31"/>
      <c r="E1349" s="31"/>
      <c r="F1349" s="31"/>
      <c r="G1349" s="31"/>
      <c r="H1349" s="31"/>
      <c r="I1349" s="31"/>
      <c r="J1349" s="31"/>
      <c r="K1349" s="31"/>
      <c r="L1349" s="31"/>
      <c r="M1349" s="31"/>
      <c r="N1349" s="33"/>
      <c r="O1349" s="31"/>
    </row>
    <row r="1350" spans="1:15" ht="15" customHeight="1">
      <c r="A1350" s="31"/>
      <c r="B1350" s="31"/>
      <c r="C1350" s="32"/>
      <c r="D1350" s="31"/>
      <c r="E1350" s="31"/>
      <c r="F1350" s="31"/>
      <c r="G1350" s="31"/>
      <c r="H1350" s="31"/>
      <c r="I1350" s="31"/>
      <c r="J1350" s="31"/>
      <c r="K1350" s="31"/>
      <c r="L1350" s="31"/>
      <c r="M1350" s="31"/>
      <c r="N1350" s="33"/>
      <c r="O1350" s="31"/>
    </row>
    <row r="1351" spans="1:15" ht="15" customHeight="1">
      <c r="A1351" s="31"/>
      <c r="B1351" s="31"/>
      <c r="C1351" s="32"/>
      <c r="D1351" s="31"/>
      <c r="E1351" s="31"/>
      <c r="F1351" s="31"/>
      <c r="G1351" s="31"/>
      <c r="H1351" s="31"/>
      <c r="I1351" s="31"/>
      <c r="J1351" s="31"/>
      <c r="K1351" s="31"/>
      <c r="L1351" s="31"/>
      <c r="M1351" s="31"/>
      <c r="N1351" s="33"/>
      <c r="O1351" s="31"/>
    </row>
    <row r="1352" spans="1:15" ht="15" customHeight="1">
      <c r="A1352" s="31"/>
      <c r="B1352" s="31"/>
      <c r="C1352" s="32"/>
      <c r="D1352" s="31"/>
      <c r="E1352" s="31"/>
      <c r="F1352" s="31"/>
      <c r="G1352" s="31"/>
      <c r="H1352" s="31"/>
      <c r="I1352" s="31"/>
      <c r="J1352" s="31"/>
      <c r="K1352" s="31"/>
      <c r="L1352" s="31"/>
      <c r="M1352" s="31"/>
      <c r="N1352" s="33"/>
      <c r="O1352" s="31"/>
    </row>
    <row r="1353" spans="1:15" ht="15" customHeight="1">
      <c r="A1353" s="31"/>
      <c r="B1353" s="31"/>
      <c r="C1353" s="32"/>
      <c r="D1353" s="31"/>
      <c r="E1353" s="31"/>
      <c r="F1353" s="31"/>
      <c r="G1353" s="31"/>
      <c r="H1353" s="31"/>
      <c r="I1353" s="31"/>
      <c r="J1353" s="31"/>
      <c r="K1353" s="31"/>
      <c r="L1353" s="31"/>
      <c r="M1353" s="31"/>
      <c r="N1353" s="33"/>
      <c r="O1353" s="31"/>
    </row>
    <row r="1354" spans="1:15" ht="15" customHeight="1">
      <c r="A1354" s="31"/>
      <c r="B1354" s="31"/>
      <c r="C1354" s="32"/>
      <c r="D1354" s="31"/>
      <c r="E1354" s="31"/>
      <c r="F1354" s="31"/>
      <c r="G1354" s="31"/>
      <c r="H1354" s="31"/>
      <c r="I1354" s="31"/>
      <c r="J1354" s="31"/>
      <c r="K1354" s="31"/>
      <c r="L1354" s="31"/>
      <c r="M1354" s="31"/>
      <c r="N1354" s="33"/>
      <c r="O1354" s="31"/>
    </row>
    <row r="1355" spans="1:15" ht="15" customHeight="1">
      <c r="A1355" s="31"/>
      <c r="B1355" s="31"/>
      <c r="C1355" s="32"/>
      <c r="D1355" s="31"/>
      <c r="E1355" s="31"/>
      <c r="F1355" s="31"/>
      <c r="G1355" s="31"/>
      <c r="H1355" s="31"/>
      <c r="I1355" s="31"/>
      <c r="J1355" s="31"/>
      <c r="K1355" s="31"/>
      <c r="L1355" s="31"/>
      <c r="M1355" s="31"/>
      <c r="N1355" s="33"/>
      <c r="O1355" s="31"/>
    </row>
    <row r="1356" spans="1:15" ht="15" customHeight="1">
      <c r="A1356" s="31"/>
      <c r="B1356" s="31"/>
      <c r="C1356" s="32"/>
      <c r="D1356" s="31"/>
      <c r="E1356" s="31"/>
      <c r="F1356" s="31"/>
      <c r="G1356" s="31"/>
      <c r="H1356" s="31"/>
      <c r="I1356" s="31"/>
      <c r="J1356" s="31"/>
      <c r="K1356" s="31"/>
      <c r="L1356" s="31"/>
      <c r="M1356" s="31"/>
      <c r="N1356" s="33"/>
      <c r="O1356" s="31"/>
    </row>
    <row r="1357" spans="1:15" ht="15" customHeight="1">
      <c r="A1357" s="31"/>
      <c r="B1357" s="31"/>
      <c r="C1357" s="32"/>
      <c r="D1357" s="31"/>
      <c r="E1357" s="31"/>
      <c r="F1357" s="31"/>
      <c r="G1357" s="31"/>
      <c r="H1357" s="31"/>
      <c r="I1357" s="31"/>
      <c r="J1357" s="31"/>
      <c r="K1357" s="31"/>
      <c r="L1357" s="31"/>
      <c r="M1357" s="31"/>
      <c r="N1357" s="33"/>
      <c r="O1357" s="31"/>
    </row>
    <row r="1358" spans="1:15" ht="15" customHeight="1">
      <c r="A1358" s="31"/>
      <c r="B1358" s="31"/>
      <c r="C1358" s="32"/>
      <c r="D1358" s="31"/>
      <c r="E1358" s="31"/>
      <c r="F1358" s="31"/>
      <c r="G1358" s="31"/>
      <c r="H1358" s="31"/>
      <c r="I1358" s="31"/>
      <c r="J1358" s="31"/>
      <c r="K1358" s="31"/>
      <c r="L1358" s="31"/>
      <c r="M1358" s="31"/>
      <c r="N1358" s="33"/>
      <c r="O1358" s="31"/>
    </row>
    <row r="1359" spans="1:15" ht="15" customHeight="1">
      <c r="A1359" s="31"/>
      <c r="B1359" s="31"/>
      <c r="C1359" s="32"/>
      <c r="D1359" s="31"/>
      <c r="E1359" s="31"/>
      <c r="F1359" s="31"/>
      <c r="G1359" s="31"/>
      <c r="H1359" s="31"/>
      <c r="I1359" s="31"/>
      <c r="J1359" s="31"/>
      <c r="K1359" s="31"/>
      <c r="L1359" s="31"/>
      <c r="M1359" s="31"/>
      <c r="N1359" s="33"/>
      <c r="O1359" s="31"/>
    </row>
    <row r="1360" spans="1:15" ht="15" customHeight="1">
      <c r="A1360" s="31"/>
      <c r="B1360" s="31"/>
      <c r="C1360" s="32"/>
      <c r="D1360" s="31"/>
      <c r="E1360" s="31"/>
      <c r="F1360" s="31"/>
      <c r="G1360" s="31"/>
      <c r="H1360" s="31"/>
      <c r="I1360" s="31"/>
      <c r="J1360" s="31"/>
      <c r="K1360" s="31"/>
      <c r="L1360" s="31"/>
      <c r="M1360" s="31"/>
      <c r="N1360" s="33"/>
      <c r="O1360" s="31"/>
    </row>
    <row r="1361" spans="1:15" ht="15" customHeight="1">
      <c r="A1361" s="31"/>
      <c r="B1361" s="31"/>
      <c r="C1361" s="32"/>
      <c r="D1361" s="31"/>
      <c r="E1361" s="31"/>
      <c r="F1361" s="31"/>
      <c r="G1361" s="31"/>
      <c r="H1361" s="31"/>
      <c r="I1361" s="31"/>
      <c r="J1361" s="31"/>
      <c r="K1361" s="31"/>
      <c r="L1361" s="31"/>
      <c r="M1361" s="31"/>
      <c r="N1361" s="33"/>
      <c r="O1361" s="31"/>
    </row>
    <row r="1362" spans="1:15" ht="15" customHeight="1">
      <c r="A1362" s="31"/>
      <c r="B1362" s="31"/>
      <c r="C1362" s="32"/>
      <c r="D1362" s="31"/>
      <c r="E1362" s="31"/>
      <c r="F1362" s="31"/>
      <c r="G1362" s="31"/>
      <c r="H1362" s="31"/>
      <c r="I1362" s="31"/>
      <c r="J1362" s="31"/>
      <c r="K1362" s="31"/>
      <c r="L1362" s="31"/>
      <c r="M1362" s="31"/>
      <c r="N1362" s="33"/>
      <c r="O1362" s="31"/>
    </row>
    <row r="1363" spans="1:15" ht="15" customHeight="1">
      <c r="A1363" s="31"/>
      <c r="B1363" s="31"/>
      <c r="C1363" s="32"/>
      <c r="D1363" s="31"/>
      <c r="E1363" s="31"/>
      <c r="F1363" s="31"/>
      <c r="G1363" s="31"/>
      <c r="H1363" s="31"/>
      <c r="I1363" s="31"/>
      <c r="J1363" s="31"/>
      <c r="K1363" s="31"/>
      <c r="L1363" s="31"/>
      <c r="M1363" s="31"/>
      <c r="N1363" s="33"/>
      <c r="O1363" s="31"/>
    </row>
    <row r="1364" spans="1:15" ht="15" customHeight="1">
      <c r="A1364" s="31"/>
      <c r="B1364" s="31"/>
      <c r="C1364" s="32"/>
      <c r="D1364" s="31"/>
      <c r="E1364" s="31"/>
      <c r="F1364" s="31"/>
      <c r="G1364" s="31"/>
      <c r="H1364" s="31"/>
      <c r="I1364" s="31"/>
      <c r="J1364" s="31"/>
      <c r="K1364" s="31"/>
      <c r="L1364" s="31"/>
      <c r="M1364" s="31"/>
      <c r="N1364" s="33"/>
      <c r="O1364" s="31"/>
    </row>
    <row r="1365" spans="1:15" ht="15" customHeight="1">
      <c r="A1365" s="31"/>
      <c r="B1365" s="31"/>
      <c r="C1365" s="32"/>
      <c r="D1365" s="31"/>
      <c r="E1365" s="31"/>
      <c r="F1365" s="31"/>
      <c r="G1365" s="31"/>
      <c r="H1365" s="31"/>
      <c r="I1365" s="31"/>
      <c r="J1365" s="31"/>
      <c r="K1365" s="31"/>
      <c r="L1365" s="31"/>
      <c r="M1365" s="31"/>
      <c r="N1365" s="33"/>
      <c r="O1365" s="31"/>
    </row>
    <row r="1366" spans="1:15" ht="15" customHeight="1">
      <c r="A1366" s="31"/>
      <c r="B1366" s="31"/>
      <c r="C1366" s="32"/>
      <c r="D1366" s="31"/>
      <c r="E1366" s="31"/>
      <c r="F1366" s="31"/>
      <c r="G1366" s="31"/>
      <c r="H1366" s="31"/>
      <c r="I1366" s="31"/>
      <c r="J1366" s="31"/>
      <c r="K1366" s="31"/>
      <c r="L1366" s="31"/>
      <c r="M1366" s="31"/>
      <c r="N1366" s="33"/>
      <c r="O1366" s="31"/>
    </row>
    <row r="1367" spans="1:15" ht="15" customHeight="1">
      <c r="A1367" s="31"/>
      <c r="B1367" s="31"/>
      <c r="C1367" s="32"/>
      <c r="D1367" s="31"/>
      <c r="E1367" s="31"/>
      <c r="F1367" s="31"/>
      <c r="G1367" s="31"/>
      <c r="H1367" s="31"/>
      <c r="I1367" s="31"/>
      <c r="J1367" s="31"/>
      <c r="K1367" s="31"/>
      <c r="L1367" s="31"/>
      <c r="M1367" s="31"/>
      <c r="N1367" s="33"/>
      <c r="O1367" s="31"/>
    </row>
    <row r="1368" spans="1:15" ht="15" customHeight="1">
      <c r="A1368" s="31"/>
      <c r="B1368" s="31"/>
      <c r="C1368" s="32"/>
      <c r="D1368" s="31"/>
      <c r="E1368" s="31"/>
      <c r="F1368" s="31"/>
      <c r="G1368" s="31"/>
      <c r="H1368" s="31"/>
      <c r="I1368" s="31"/>
      <c r="J1368" s="31"/>
      <c r="K1368" s="31"/>
      <c r="L1368" s="31"/>
      <c r="M1368" s="31"/>
      <c r="N1368" s="33"/>
      <c r="O1368" s="31"/>
    </row>
    <row r="1369" spans="1:15" ht="15" customHeight="1">
      <c r="A1369" s="31"/>
      <c r="B1369" s="31"/>
      <c r="C1369" s="32"/>
      <c r="D1369" s="31"/>
      <c r="E1369" s="31"/>
      <c r="F1369" s="31"/>
      <c r="G1369" s="31"/>
      <c r="H1369" s="31"/>
      <c r="I1369" s="31"/>
      <c r="J1369" s="31"/>
      <c r="K1369" s="31"/>
      <c r="L1369" s="31"/>
      <c r="M1369" s="31"/>
      <c r="N1369" s="33"/>
      <c r="O1369" s="31"/>
    </row>
    <row r="1370" spans="1:15" ht="15" customHeight="1">
      <c r="A1370" s="31"/>
      <c r="B1370" s="31"/>
      <c r="C1370" s="32"/>
      <c r="D1370" s="31"/>
      <c r="E1370" s="31"/>
      <c r="F1370" s="31"/>
      <c r="G1370" s="31"/>
      <c r="H1370" s="31"/>
      <c r="I1370" s="31"/>
      <c r="J1370" s="31"/>
      <c r="K1370" s="31"/>
      <c r="L1370" s="31"/>
      <c r="M1370" s="31"/>
      <c r="N1370" s="33"/>
      <c r="O1370" s="31"/>
    </row>
    <row r="1371" spans="1:15" ht="15" customHeight="1">
      <c r="A1371" s="31"/>
      <c r="B1371" s="31"/>
      <c r="C1371" s="32"/>
      <c r="D1371" s="31"/>
      <c r="E1371" s="31"/>
      <c r="F1371" s="31"/>
      <c r="G1371" s="31"/>
      <c r="H1371" s="31"/>
      <c r="I1371" s="31"/>
      <c r="J1371" s="31"/>
      <c r="K1371" s="31"/>
      <c r="L1371" s="31"/>
      <c r="M1371" s="31"/>
      <c r="N1371" s="33"/>
      <c r="O1371" s="31"/>
    </row>
    <row r="1372" spans="1:15" ht="15" customHeight="1">
      <c r="A1372" s="31"/>
      <c r="B1372" s="31"/>
      <c r="C1372" s="32"/>
      <c r="D1372" s="31"/>
      <c r="E1372" s="31"/>
      <c r="F1372" s="31"/>
      <c r="G1372" s="31"/>
      <c r="H1372" s="31"/>
      <c r="I1372" s="31"/>
      <c r="J1372" s="31"/>
      <c r="K1372" s="31"/>
      <c r="L1372" s="31"/>
      <c r="M1372" s="31"/>
      <c r="N1372" s="33"/>
      <c r="O1372" s="31"/>
    </row>
    <row r="1373" spans="1:15" ht="15" customHeight="1">
      <c r="A1373" s="31"/>
      <c r="B1373" s="31"/>
      <c r="C1373" s="32"/>
      <c r="D1373" s="31"/>
      <c r="E1373" s="31"/>
      <c r="F1373" s="31"/>
      <c r="G1373" s="31"/>
      <c r="H1373" s="31"/>
      <c r="I1373" s="31"/>
      <c r="J1373" s="31"/>
      <c r="K1373" s="31"/>
      <c r="L1373" s="31"/>
      <c r="M1373" s="31"/>
      <c r="N1373" s="33"/>
      <c r="O1373" s="31"/>
    </row>
    <row r="1374" spans="1:15" ht="15" customHeight="1">
      <c r="A1374" s="31"/>
      <c r="B1374" s="31"/>
      <c r="C1374" s="32"/>
      <c r="D1374" s="31"/>
      <c r="E1374" s="31"/>
      <c r="F1374" s="31"/>
      <c r="G1374" s="31"/>
      <c r="H1374" s="31"/>
      <c r="I1374" s="31"/>
      <c r="J1374" s="31"/>
      <c r="K1374" s="31"/>
      <c r="L1374" s="31"/>
      <c r="M1374" s="31"/>
      <c r="N1374" s="33"/>
      <c r="O1374" s="31"/>
    </row>
    <row r="1375" spans="1:15" ht="15" customHeight="1">
      <c r="A1375" s="31"/>
      <c r="B1375" s="31"/>
      <c r="C1375" s="32"/>
      <c r="D1375" s="31"/>
      <c r="E1375" s="31"/>
      <c r="F1375" s="31"/>
      <c r="G1375" s="31"/>
      <c r="H1375" s="31"/>
      <c r="I1375" s="31"/>
      <c r="J1375" s="31"/>
      <c r="K1375" s="31"/>
      <c r="L1375" s="31"/>
      <c r="M1375" s="31"/>
      <c r="N1375" s="33"/>
      <c r="O1375" s="31"/>
    </row>
    <row r="1376" spans="1:15" ht="15" customHeight="1">
      <c r="A1376" s="31"/>
      <c r="B1376" s="31"/>
      <c r="C1376" s="32"/>
      <c r="D1376" s="31"/>
      <c r="E1376" s="31"/>
      <c r="F1376" s="31"/>
      <c r="G1376" s="31"/>
      <c r="H1376" s="31"/>
      <c r="I1376" s="31"/>
      <c r="J1376" s="31"/>
      <c r="K1376" s="31"/>
      <c r="L1376" s="31"/>
      <c r="M1376" s="31"/>
      <c r="N1376" s="33"/>
      <c r="O1376" s="31"/>
    </row>
    <row r="1377" spans="1:15" ht="15" customHeight="1">
      <c r="A1377" s="31"/>
      <c r="B1377" s="31"/>
      <c r="C1377" s="32"/>
      <c r="D1377" s="31"/>
      <c r="E1377" s="31"/>
      <c r="F1377" s="31"/>
      <c r="G1377" s="31"/>
      <c r="H1377" s="31"/>
      <c r="I1377" s="31"/>
      <c r="J1377" s="31"/>
      <c r="K1377" s="31"/>
      <c r="L1377" s="31"/>
      <c r="M1377" s="31"/>
      <c r="N1377" s="33"/>
      <c r="O1377" s="31"/>
    </row>
    <row r="1378" spans="1:15" ht="15" customHeight="1">
      <c r="A1378" s="31"/>
      <c r="B1378" s="31"/>
      <c r="C1378" s="32"/>
      <c r="D1378" s="31"/>
      <c r="E1378" s="31"/>
      <c r="F1378" s="31"/>
      <c r="G1378" s="31"/>
      <c r="H1378" s="31"/>
      <c r="I1378" s="31"/>
      <c r="J1378" s="31"/>
      <c r="K1378" s="31"/>
      <c r="L1378" s="31"/>
      <c r="M1378" s="31"/>
      <c r="N1378" s="33"/>
      <c r="O1378" s="31"/>
    </row>
    <row r="1379" spans="1:15" ht="15" customHeight="1">
      <c r="A1379" s="31"/>
      <c r="B1379" s="31"/>
      <c r="C1379" s="32"/>
      <c r="D1379" s="31"/>
      <c r="E1379" s="31"/>
      <c r="F1379" s="31"/>
      <c r="G1379" s="31"/>
      <c r="H1379" s="31"/>
      <c r="I1379" s="31"/>
      <c r="J1379" s="31"/>
      <c r="K1379" s="31"/>
      <c r="L1379" s="31"/>
      <c r="M1379" s="31"/>
      <c r="N1379" s="33"/>
      <c r="O1379" s="31"/>
    </row>
    <row r="1380" spans="1:15" ht="15" customHeight="1">
      <c r="A1380" s="31"/>
      <c r="B1380" s="31"/>
      <c r="C1380" s="32"/>
      <c r="D1380" s="31"/>
      <c r="E1380" s="31"/>
      <c r="F1380" s="31"/>
      <c r="G1380" s="31"/>
      <c r="H1380" s="31"/>
      <c r="I1380" s="31"/>
      <c r="J1380" s="31"/>
      <c r="K1380" s="31"/>
      <c r="L1380" s="31"/>
      <c r="M1380" s="31"/>
      <c r="N1380" s="33"/>
      <c r="O1380" s="31"/>
    </row>
    <row r="1381" spans="1:15" ht="15" customHeight="1">
      <c r="A1381" s="31"/>
      <c r="B1381" s="31"/>
      <c r="C1381" s="32"/>
      <c r="D1381" s="31"/>
      <c r="E1381" s="31"/>
      <c r="F1381" s="31"/>
      <c r="G1381" s="31"/>
      <c r="H1381" s="31"/>
      <c r="I1381" s="31"/>
      <c r="J1381" s="31"/>
      <c r="K1381" s="31"/>
      <c r="L1381" s="31"/>
      <c r="M1381" s="31"/>
      <c r="N1381" s="33"/>
      <c r="O1381" s="31"/>
    </row>
    <row r="1382" spans="1:15" ht="15" customHeight="1">
      <c r="A1382" s="31"/>
      <c r="B1382" s="31"/>
      <c r="C1382" s="32"/>
      <c r="D1382" s="31"/>
      <c r="E1382" s="31"/>
      <c r="F1382" s="31"/>
      <c r="G1382" s="31"/>
      <c r="H1382" s="31"/>
      <c r="I1382" s="31"/>
      <c r="J1382" s="31"/>
      <c r="K1382" s="31"/>
      <c r="L1382" s="31"/>
      <c r="M1382" s="31"/>
      <c r="N1382" s="33"/>
      <c r="O1382" s="31"/>
    </row>
    <row r="1383" spans="1:15" ht="15" customHeight="1">
      <c r="A1383" s="31"/>
      <c r="B1383" s="31"/>
      <c r="C1383" s="32"/>
      <c r="D1383" s="31"/>
      <c r="E1383" s="31"/>
      <c r="F1383" s="31"/>
      <c r="G1383" s="31"/>
      <c r="H1383" s="31"/>
      <c r="I1383" s="31"/>
      <c r="J1383" s="31"/>
      <c r="K1383" s="31"/>
      <c r="L1383" s="31"/>
      <c r="M1383" s="31"/>
      <c r="N1383" s="33"/>
      <c r="O1383" s="31"/>
    </row>
    <row r="1384" spans="1:15" ht="15" customHeight="1">
      <c r="A1384" s="31"/>
      <c r="B1384" s="31"/>
      <c r="C1384" s="32"/>
      <c r="D1384" s="31"/>
      <c r="E1384" s="31"/>
      <c r="F1384" s="31"/>
      <c r="G1384" s="31"/>
      <c r="H1384" s="31"/>
      <c r="I1384" s="31"/>
      <c r="J1384" s="31"/>
      <c r="K1384" s="31"/>
      <c r="L1384" s="31"/>
      <c r="M1384" s="31"/>
      <c r="N1384" s="33"/>
      <c r="O1384" s="31"/>
    </row>
    <row r="1385" spans="1:15" ht="15" customHeight="1">
      <c r="A1385" s="31"/>
      <c r="B1385" s="31"/>
      <c r="C1385" s="32"/>
      <c r="D1385" s="31"/>
      <c r="E1385" s="31"/>
      <c r="F1385" s="31"/>
      <c r="G1385" s="31"/>
      <c r="H1385" s="31"/>
      <c r="I1385" s="31"/>
      <c r="J1385" s="31"/>
      <c r="K1385" s="31"/>
      <c r="L1385" s="31"/>
      <c r="M1385" s="31"/>
      <c r="N1385" s="33"/>
      <c r="O1385" s="31"/>
    </row>
    <row r="1386" spans="1:15" ht="15" customHeight="1">
      <c r="A1386" s="31"/>
      <c r="B1386" s="31"/>
      <c r="C1386" s="32"/>
      <c r="D1386" s="31"/>
      <c r="E1386" s="31"/>
      <c r="F1386" s="31"/>
      <c r="G1386" s="31"/>
      <c r="H1386" s="31"/>
      <c r="I1386" s="31"/>
      <c r="J1386" s="31"/>
      <c r="K1386" s="31"/>
      <c r="L1386" s="31"/>
      <c r="M1386" s="31"/>
      <c r="N1386" s="33"/>
      <c r="O1386" s="31"/>
    </row>
    <row r="1387" spans="1:15" ht="15" customHeight="1">
      <c r="A1387" s="31"/>
      <c r="B1387" s="31"/>
      <c r="C1387" s="32"/>
      <c r="D1387" s="31"/>
      <c r="E1387" s="31"/>
      <c r="F1387" s="31"/>
      <c r="G1387" s="31"/>
      <c r="H1387" s="31"/>
      <c r="I1387" s="31"/>
      <c r="J1387" s="31"/>
      <c r="K1387" s="31"/>
      <c r="L1387" s="31"/>
      <c r="M1387" s="31"/>
      <c r="N1387" s="33"/>
      <c r="O1387" s="31"/>
    </row>
    <row r="1388" spans="1:15" ht="15" customHeight="1">
      <c r="A1388" s="31"/>
      <c r="B1388" s="31"/>
      <c r="C1388" s="32"/>
      <c r="D1388" s="31"/>
      <c r="E1388" s="31"/>
      <c r="F1388" s="31"/>
      <c r="G1388" s="31"/>
      <c r="H1388" s="31"/>
      <c r="I1388" s="31"/>
      <c r="J1388" s="31"/>
      <c r="K1388" s="31"/>
      <c r="L1388" s="31"/>
      <c r="M1388" s="31"/>
      <c r="N1388" s="33"/>
      <c r="O1388" s="31"/>
    </row>
    <row r="1389" spans="1:15" ht="15" customHeight="1">
      <c r="A1389" s="31"/>
      <c r="B1389" s="31"/>
      <c r="C1389" s="32"/>
      <c r="D1389" s="31"/>
      <c r="E1389" s="31"/>
      <c r="F1389" s="31"/>
      <c r="G1389" s="31"/>
      <c r="H1389" s="31"/>
      <c r="I1389" s="31"/>
      <c r="J1389" s="31"/>
      <c r="K1389" s="31"/>
      <c r="L1389" s="31"/>
      <c r="M1389" s="31"/>
      <c r="N1389" s="33"/>
      <c r="O1389" s="31"/>
    </row>
    <row r="1390" spans="1:15" ht="15" customHeight="1">
      <c r="A1390" s="31"/>
      <c r="B1390" s="31"/>
      <c r="C1390" s="32"/>
      <c r="D1390" s="31"/>
      <c r="E1390" s="31"/>
      <c r="F1390" s="31"/>
      <c r="G1390" s="31"/>
      <c r="H1390" s="31"/>
      <c r="I1390" s="31"/>
      <c r="J1390" s="31"/>
      <c r="K1390" s="31"/>
      <c r="L1390" s="31"/>
      <c r="M1390" s="31"/>
      <c r="N1390" s="33"/>
      <c r="O1390" s="31"/>
    </row>
    <row r="1391" spans="1:15" ht="15" customHeight="1">
      <c r="A1391" s="31"/>
      <c r="B1391" s="31"/>
      <c r="C1391" s="32"/>
      <c r="D1391" s="31"/>
      <c r="E1391" s="31"/>
      <c r="F1391" s="31"/>
      <c r="G1391" s="31"/>
      <c r="H1391" s="31"/>
      <c r="I1391" s="31"/>
      <c r="J1391" s="31"/>
      <c r="K1391" s="31"/>
      <c r="L1391" s="31"/>
      <c r="M1391" s="31"/>
      <c r="N1391" s="33"/>
      <c r="O1391" s="31"/>
    </row>
    <row r="1392" spans="1:15" ht="15" customHeight="1">
      <c r="A1392" s="31"/>
      <c r="B1392" s="31"/>
      <c r="C1392" s="32"/>
      <c r="D1392" s="31"/>
      <c r="E1392" s="31"/>
      <c r="F1392" s="31"/>
      <c r="G1392" s="31"/>
      <c r="H1392" s="31"/>
      <c r="I1392" s="31"/>
      <c r="J1392" s="31"/>
      <c r="K1392" s="31"/>
      <c r="L1392" s="31"/>
      <c r="M1392" s="31"/>
      <c r="N1392" s="33"/>
      <c r="O1392" s="31"/>
    </row>
    <row r="1393" spans="1:15" ht="15" customHeight="1">
      <c r="A1393" s="31"/>
      <c r="B1393" s="31"/>
      <c r="C1393" s="32"/>
      <c r="D1393" s="31"/>
      <c r="E1393" s="31"/>
      <c r="F1393" s="31"/>
      <c r="G1393" s="31"/>
      <c r="H1393" s="31"/>
      <c r="I1393" s="31"/>
      <c r="J1393" s="31"/>
      <c r="K1393" s="31"/>
      <c r="L1393" s="31"/>
      <c r="M1393" s="31"/>
      <c r="N1393" s="33"/>
      <c r="O1393" s="31"/>
    </row>
    <row r="1394" spans="1:15" ht="15" customHeight="1">
      <c r="A1394" s="31"/>
      <c r="B1394" s="31"/>
      <c r="C1394" s="32"/>
      <c r="D1394" s="31"/>
      <c r="E1394" s="31"/>
      <c r="F1394" s="31"/>
      <c r="G1394" s="31"/>
      <c r="H1394" s="31"/>
      <c r="I1394" s="31"/>
      <c r="J1394" s="31"/>
      <c r="K1394" s="31"/>
      <c r="L1394" s="31"/>
      <c r="M1394" s="31"/>
      <c r="N1394" s="33"/>
      <c r="O1394" s="31"/>
    </row>
    <row r="1395" spans="1:15" ht="15" customHeight="1">
      <c r="A1395" s="31"/>
      <c r="B1395" s="31"/>
      <c r="C1395" s="32"/>
      <c r="D1395" s="31"/>
      <c r="E1395" s="31"/>
      <c r="F1395" s="31"/>
      <c r="G1395" s="31"/>
      <c r="H1395" s="31"/>
      <c r="I1395" s="31"/>
      <c r="J1395" s="31"/>
      <c r="K1395" s="31"/>
      <c r="L1395" s="31"/>
      <c r="M1395" s="31"/>
      <c r="N1395" s="33"/>
      <c r="O1395" s="31"/>
    </row>
    <row r="1396" spans="1:15" ht="15" customHeight="1">
      <c r="A1396" s="31"/>
      <c r="B1396" s="31"/>
      <c r="C1396" s="32"/>
      <c r="D1396" s="31"/>
      <c r="E1396" s="31"/>
      <c r="F1396" s="31"/>
      <c r="G1396" s="31"/>
      <c r="H1396" s="31"/>
      <c r="I1396" s="31"/>
      <c r="J1396" s="31"/>
      <c r="K1396" s="31"/>
      <c r="L1396" s="31"/>
      <c r="M1396" s="31"/>
      <c r="N1396" s="33"/>
      <c r="O1396" s="31"/>
    </row>
    <row r="1397" spans="1:15" ht="15" customHeight="1">
      <c r="A1397" s="31"/>
      <c r="B1397" s="31"/>
      <c r="C1397" s="32"/>
      <c r="D1397" s="31"/>
      <c r="E1397" s="31"/>
      <c r="F1397" s="31"/>
      <c r="G1397" s="31"/>
      <c r="H1397" s="31"/>
      <c r="I1397" s="31"/>
      <c r="J1397" s="31"/>
      <c r="K1397" s="31"/>
      <c r="L1397" s="31"/>
      <c r="M1397" s="31"/>
      <c r="N1397" s="33"/>
      <c r="O1397" s="31"/>
    </row>
    <row r="1398" spans="1:15" ht="15" customHeight="1">
      <c r="A1398" s="31"/>
      <c r="B1398" s="31"/>
      <c r="C1398" s="32"/>
      <c r="D1398" s="31"/>
      <c r="E1398" s="31"/>
      <c r="F1398" s="31"/>
      <c r="G1398" s="31"/>
      <c r="H1398" s="31"/>
      <c r="I1398" s="31"/>
      <c r="J1398" s="31"/>
      <c r="K1398" s="31"/>
      <c r="L1398" s="31"/>
      <c r="M1398" s="31"/>
      <c r="N1398" s="33"/>
      <c r="O1398" s="31"/>
    </row>
    <row r="1399" spans="1:15" ht="15" customHeight="1">
      <c r="A1399" s="31"/>
      <c r="B1399" s="31"/>
      <c r="C1399" s="32"/>
      <c r="D1399" s="31"/>
      <c r="E1399" s="31"/>
      <c r="F1399" s="31"/>
      <c r="G1399" s="31"/>
      <c r="H1399" s="31"/>
      <c r="I1399" s="31"/>
      <c r="J1399" s="31"/>
      <c r="K1399" s="31"/>
      <c r="L1399" s="31"/>
      <c r="M1399" s="31"/>
      <c r="N1399" s="33"/>
      <c r="O1399" s="31"/>
    </row>
    <row r="1400" spans="1:15" ht="15" customHeight="1">
      <c r="A1400" s="31"/>
      <c r="B1400" s="31"/>
      <c r="C1400" s="32"/>
      <c r="D1400" s="31"/>
      <c r="E1400" s="31"/>
      <c r="F1400" s="31"/>
      <c r="G1400" s="31"/>
      <c r="H1400" s="31"/>
      <c r="I1400" s="31"/>
      <c r="J1400" s="31"/>
      <c r="K1400" s="31"/>
      <c r="L1400" s="31"/>
      <c r="M1400" s="31"/>
      <c r="N1400" s="33"/>
      <c r="O1400" s="31"/>
    </row>
    <row r="1401" spans="1:15" ht="15" customHeight="1">
      <c r="A1401" s="31"/>
      <c r="B1401" s="31"/>
      <c r="C1401" s="32"/>
      <c r="D1401" s="31"/>
      <c r="E1401" s="31"/>
      <c r="F1401" s="31"/>
      <c r="G1401" s="31"/>
      <c r="H1401" s="31"/>
      <c r="I1401" s="31"/>
      <c r="J1401" s="31"/>
      <c r="K1401" s="31"/>
      <c r="L1401" s="31"/>
      <c r="M1401" s="31"/>
      <c r="N1401" s="33"/>
      <c r="O1401" s="31"/>
    </row>
    <row r="1402" spans="1:15" ht="15" customHeight="1">
      <c r="A1402" s="31"/>
      <c r="B1402" s="31"/>
      <c r="C1402" s="32"/>
      <c r="D1402" s="31"/>
      <c r="E1402" s="31"/>
      <c r="F1402" s="31"/>
      <c r="G1402" s="31"/>
      <c r="H1402" s="31"/>
      <c r="I1402" s="31"/>
      <c r="J1402" s="31"/>
      <c r="K1402" s="31"/>
      <c r="L1402" s="31"/>
      <c r="M1402" s="31"/>
      <c r="N1402" s="33"/>
      <c r="O1402" s="31"/>
    </row>
    <row r="1403" spans="1:15" ht="15" customHeight="1">
      <c r="A1403" s="31"/>
      <c r="B1403" s="31"/>
      <c r="C1403" s="32"/>
      <c r="D1403" s="31"/>
      <c r="E1403" s="31"/>
      <c r="F1403" s="31"/>
      <c r="G1403" s="31"/>
      <c r="H1403" s="31"/>
      <c r="I1403" s="31"/>
      <c r="J1403" s="31"/>
      <c r="K1403" s="31"/>
      <c r="L1403" s="31"/>
      <c r="M1403" s="31"/>
      <c r="N1403" s="33"/>
      <c r="O1403" s="31"/>
    </row>
    <row r="1404" spans="1:15" ht="15" customHeight="1">
      <c r="A1404" s="31"/>
      <c r="B1404" s="31"/>
      <c r="C1404" s="32"/>
      <c r="D1404" s="31"/>
      <c r="E1404" s="31"/>
      <c r="F1404" s="31"/>
      <c r="G1404" s="31"/>
      <c r="H1404" s="31"/>
      <c r="I1404" s="31"/>
      <c r="J1404" s="31"/>
      <c r="K1404" s="31"/>
      <c r="L1404" s="31"/>
      <c r="M1404" s="31"/>
      <c r="N1404" s="33"/>
      <c r="O1404" s="31"/>
    </row>
    <row r="1405" spans="1:15" ht="15" customHeight="1">
      <c r="A1405" s="31"/>
      <c r="B1405" s="31"/>
      <c r="C1405" s="32"/>
      <c r="D1405" s="31"/>
      <c r="E1405" s="31"/>
      <c r="F1405" s="31"/>
      <c r="G1405" s="31"/>
      <c r="H1405" s="31"/>
      <c r="I1405" s="31"/>
      <c r="J1405" s="31"/>
      <c r="K1405" s="31"/>
      <c r="L1405" s="31"/>
      <c r="M1405" s="31"/>
      <c r="N1405" s="33"/>
      <c r="O1405" s="31"/>
    </row>
    <row r="1406" spans="1:15" ht="15" customHeight="1">
      <c r="A1406" s="31"/>
      <c r="B1406" s="31"/>
      <c r="C1406" s="32"/>
      <c r="D1406" s="31"/>
      <c r="E1406" s="31"/>
      <c r="F1406" s="31"/>
      <c r="G1406" s="31"/>
      <c r="H1406" s="31"/>
      <c r="I1406" s="31"/>
      <c r="J1406" s="31"/>
      <c r="K1406" s="31"/>
      <c r="L1406" s="31"/>
      <c r="M1406" s="31"/>
      <c r="N1406" s="33"/>
      <c r="O1406" s="31"/>
    </row>
    <row r="1407" spans="1:15" ht="15" customHeight="1">
      <c r="A1407" s="31"/>
      <c r="B1407" s="31"/>
      <c r="C1407" s="32"/>
      <c r="D1407" s="31"/>
      <c r="E1407" s="31"/>
      <c r="F1407" s="31"/>
      <c r="G1407" s="31"/>
      <c r="H1407" s="31"/>
      <c r="I1407" s="31"/>
      <c r="J1407" s="31"/>
      <c r="K1407" s="31"/>
      <c r="L1407" s="31"/>
      <c r="M1407" s="31"/>
      <c r="N1407" s="33"/>
      <c r="O1407" s="31"/>
    </row>
    <row r="1408" spans="1:15" ht="15" customHeight="1">
      <c r="A1408" s="31"/>
      <c r="B1408" s="31"/>
      <c r="C1408" s="32"/>
      <c r="D1408" s="31"/>
      <c r="E1408" s="31"/>
      <c r="F1408" s="31"/>
      <c r="G1408" s="31"/>
      <c r="H1408" s="31"/>
      <c r="I1408" s="31"/>
      <c r="J1408" s="31"/>
      <c r="K1408" s="31"/>
      <c r="L1408" s="31"/>
      <c r="M1408" s="31"/>
      <c r="N1408" s="33"/>
      <c r="O1408" s="31"/>
    </row>
    <row r="1409" spans="1:15" ht="15" customHeight="1">
      <c r="A1409" s="31"/>
      <c r="B1409" s="31"/>
      <c r="C1409" s="32"/>
      <c r="D1409" s="31"/>
      <c r="E1409" s="31"/>
      <c r="F1409" s="31"/>
      <c r="G1409" s="31"/>
      <c r="H1409" s="31"/>
      <c r="I1409" s="31"/>
      <c r="J1409" s="31"/>
      <c r="K1409" s="31"/>
      <c r="L1409" s="31"/>
      <c r="M1409" s="31"/>
      <c r="N1409" s="33"/>
      <c r="O1409" s="31"/>
    </row>
    <row r="1410" spans="1:15" ht="15" customHeight="1">
      <c r="A1410" s="31"/>
      <c r="B1410" s="31"/>
      <c r="C1410" s="32"/>
      <c r="D1410" s="31"/>
      <c r="E1410" s="31"/>
      <c r="F1410" s="31"/>
      <c r="G1410" s="31"/>
      <c r="H1410" s="31"/>
      <c r="I1410" s="31"/>
      <c r="J1410" s="31"/>
      <c r="K1410" s="31"/>
      <c r="L1410" s="31"/>
      <c r="M1410" s="31"/>
      <c r="N1410" s="33"/>
      <c r="O1410" s="31"/>
    </row>
    <row r="1411" spans="1:15" ht="15" customHeight="1">
      <c r="A1411" s="31"/>
      <c r="B1411" s="31"/>
      <c r="C1411" s="32"/>
      <c r="D1411" s="31"/>
      <c r="E1411" s="31"/>
      <c r="F1411" s="31"/>
      <c r="G1411" s="31"/>
      <c r="H1411" s="31"/>
      <c r="I1411" s="31"/>
      <c r="J1411" s="31"/>
      <c r="K1411" s="31"/>
      <c r="L1411" s="31"/>
      <c r="M1411" s="31"/>
      <c r="N1411" s="33"/>
      <c r="O1411" s="31"/>
    </row>
    <row r="1412" spans="1:15" ht="15" customHeight="1">
      <c r="A1412" s="31"/>
      <c r="B1412" s="31"/>
      <c r="C1412" s="32"/>
      <c r="D1412" s="31"/>
      <c r="E1412" s="31"/>
      <c r="F1412" s="31"/>
      <c r="G1412" s="31"/>
      <c r="H1412" s="31"/>
      <c r="I1412" s="31"/>
      <c r="J1412" s="31"/>
      <c r="K1412" s="31"/>
      <c r="L1412" s="31"/>
      <c r="M1412" s="31"/>
      <c r="N1412" s="33"/>
      <c r="O1412" s="31"/>
    </row>
    <row r="1413" spans="1:15" ht="15" customHeight="1">
      <c r="A1413" s="31"/>
      <c r="B1413" s="31"/>
      <c r="C1413" s="32"/>
      <c r="D1413" s="31"/>
      <c r="E1413" s="31"/>
      <c r="F1413" s="31"/>
      <c r="G1413" s="31"/>
      <c r="H1413" s="31"/>
      <c r="I1413" s="31"/>
      <c r="J1413" s="31"/>
      <c r="K1413" s="31"/>
      <c r="L1413" s="31"/>
      <c r="M1413" s="31"/>
      <c r="N1413" s="33"/>
      <c r="O1413" s="31"/>
    </row>
    <row r="1414" spans="1:15" ht="15" customHeight="1">
      <c r="A1414" s="31"/>
      <c r="B1414" s="31"/>
      <c r="C1414" s="32"/>
      <c r="D1414" s="31"/>
      <c r="E1414" s="31"/>
      <c r="F1414" s="31"/>
      <c r="G1414" s="31"/>
      <c r="H1414" s="31"/>
      <c r="I1414" s="31"/>
      <c r="J1414" s="31"/>
      <c r="K1414" s="31"/>
      <c r="L1414" s="31"/>
      <c r="M1414" s="31"/>
      <c r="N1414" s="33"/>
      <c r="O1414" s="31"/>
    </row>
    <row r="1415" spans="1:15" ht="15" customHeight="1">
      <c r="A1415" s="31"/>
      <c r="B1415" s="31"/>
      <c r="C1415" s="32"/>
      <c r="D1415" s="31"/>
      <c r="E1415" s="31"/>
      <c r="F1415" s="31"/>
      <c r="G1415" s="31"/>
      <c r="H1415" s="31"/>
      <c r="I1415" s="31"/>
      <c r="J1415" s="31"/>
      <c r="K1415" s="31"/>
      <c r="L1415" s="31"/>
      <c r="M1415" s="31"/>
      <c r="N1415" s="33"/>
      <c r="O1415" s="31"/>
    </row>
    <row r="1416" spans="1:15" ht="15" customHeight="1">
      <c r="A1416" s="31"/>
      <c r="B1416" s="31"/>
      <c r="C1416" s="32"/>
      <c r="D1416" s="31"/>
      <c r="E1416" s="31"/>
      <c r="F1416" s="31"/>
      <c r="G1416" s="31"/>
      <c r="H1416" s="31"/>
      <c r="I1416" s="31"/>
      <c r="J1416" s="31"/>
      <c r="K1416" s="31"/>
      <c r="L1416" s="31"/>
      <c r="M1416" s="31"/>
      <c r="N1416" s="33"/>
      <c r="O1416" s="31"/>
    </row>
    <row r="1417" spans="1:15" ht="15" customHeight="1">
      <c r="A1417" s="31"/>
      <c r="B1417" s="31"/>
      <c r="C1417" s="32"/>
      <c r="D1417" s="31"/>
      <c r="E1417" s="31"/>
      <c r="F1417" s="31"/>
      <c r="G1417" s="31"/>
      <c r="H1417" s="31"/>
      <c r="I1417" s="31"/>
      <c r="J1417" s="31"/>
      <c r="K1417" s="31"/>
      <c r="L1417" s="31"/>
      <c r="M1417" s="31"/>
      <c r="N1417" s="33"/>
      <c r="O1417" s="31"/>
    </row>
    <row r="1418" spans="1:15" ht="15" customHeight="1">
      <c r="A1418" s="31"/>
      <c r="B1418" s="31"/>
      <c r="C1418" s="32"/>
      <c r="D1418" s="31"/>
      <c r="E1418" s="31"/>
      <c r="F1418" s="31"/>
      <c r="G1418" s="31"/>
      <c r="H1418" s="31"/>
      <c r="I1418" s="31"/>
      <c r="J1418" s="31"/>
      <c r="K1418" s="31"/>
      <c r="L1418" s="31"/>
      <c r="M1418" s="31"/>
      <c r="N1418" s="33"/>
      <c r="O1418" s="31"/>
    </row>
    <row r="1419" spans="1:15" ht="15" customHeight="1">
      <c r="A1419" s="31"/>
      <c r="B1419" s="31"/>
      <c r="C1419" s="32"/>
      <c r="D1419" s="31"/>
      <c r="E1419" s="31"/>
      <c r="F1419" s="31"/>
      <c r="G1419" s="31"/>
      <c r="H1419" s="31"/>
      <c r="I1419" s="31"/>
      <c r="J1419" s="31"/>
      <c r="K1419" s="31"/>
      <c r="L1419" s="31"/>
      <c r="M1419" s="31"/>
      <c r="N1419" s="33"/>
      <c r="O1419" s="31"/>
    </row>
    <row r="1420" spans="1:15" ht="15" customHeight="1">
      <c r="A1420" s="31"/>
      <c r="B1420" s="31"/>
      <c r="C1420" s="32"/>
      <c r="D1420" s="31"/>
      <c r="E1420" s="31"/>
      <c r="F1420" s="31"/>
      <c r="G1420" s="31"/>
      <c r="H1420" s="31"/>
      <c r="I1420" s="31"/>
      <c r="J1420" s="31"/>
      <c r="K1420" s="31"/>
      <c r="L1420" s="31"/>
      <c r="M1420" s="31"/>
      <c r="N1420" s="33"/>
      <c r="O1420" s="31"/>
    </row>
    <row r="1421" spans="1:15" ht="15" customHeight="1">
      <c r="A1421" s="31"/>
      <c r="B1421" s="31"/>
      <c r="C1421" s="32"/>
      <c r="D1421" s="31"/>
      <c r="E1421" s="31"/>
      <c r="F1421" s="31"/>
      <c r="G1421" s="31"/>
      <c r="H1421" s="31"/>
      <c r="I1421" s="31"/>
      <c r="J1421" s="31"/>
      <c r="K1421" s="31"/>
      <c r="L1421" s="31"/>
      <c r="M1421" s="31"/>
      <c r="N1421" s="33"/>
      <c r="O1421" s="31"/>
    </row>
    <row r="1422" spans="1:15" ht="15" customHeight="1">
      <c r="A1422" s="31"/>
      <c r="B1422" s="31"/>
      <c r="C1422" s="32"/>
      <c r="D1422" s="31"/>
      <c r="E1422" s="31"/>
      <c r="F1422" s="31"/>
      <c r="G1422" s="31"/>
      <c r="H1422" s="31"/>
      <c r="I1422" s="31"/>
      <c r="J1422" s="31"/>
      <c r="K1422" s="31"/>
      <c r="L1422" s="31"/>
      <c r="M1422" s="31"/>
      <c r="N1422" s="33"/>
      <c r="O1422" s="31"/>
    </row>
    <row r="1423" spans="1:15" ht="15" customHeight="1">
      <c r="A1423" s="31"/>
      <c r="B1423" s="31"/>
      <c r="C1423" s="32"/>
      <c r="D1423" s="31"/>
      <c r="E1423" s="31"/>
      <c r="F1423" s="31"/>
      <c r="G1423" s="31"/>
      <c r="H1423" s="31"/>
      <c r="I1423" s="31"/>
      <c r="J1423" s="31"/>
      <c r="K1423" s="31"/>
      <c r="L1423" s="31"/>
      <c r="M1423" s="31"/>
      <c r="N1423" s="33"/>
      <c r="O1423" s="31"/>
    </row>
    <row r="1424" spans="1:15" ht="15" customHeight="1">
      <c r="A1424" s="31"/>
      <c r="B1424" s="31"/>
      <c r="C1424" s="32"/>
      <c r="D1424" s="31"/>
      <c r="E1424" s="31"/>
      <c r="F1424" s="31"/>
      <c r="G1424" s="31"/>
      <c r="H1424" s="31"/>
      <c r="I1424" s="31"/>
      <c r="J1424" s="31"/>
      <c r="K1424" s="31"/>
      <c r="L1424" s="31"/>
      <c r="M1424" s="31"/>
      <c r="N1424" s="33"/>
      <c r="O1424" s="31"/>
    </row>
    <row r="1425" spans="1:15" ht="15" customHeight="1">
      <c r="A1425" s="31"/>
      <c r="B1425" s="31"/>
      <c r="C1425" s="32"/>
      <c r="D1425" s="31"/>
      <c r="E1425" s="31"/>
      <c r="F1425" s="31"/>
      <c r="G1425" s="31"/>
      <c r="H1425" s="31"/>
      <c r="I1425" s="31"/>
      <c r="J1425" s="31"/>
      <c r="K1425" s="31"/>
      <c r="L1425" s="31"/>
      <c r="M1425" s="31"/>
      <c r="N1425" s="33"/>
      <c r="O1425" s="31"/>
    </row>
    <row r="1426" spans="1:15" ht="15" customHeight="1">
      <c r="A1426" s="31"/>
      <c r="B1426" s="31"/>
      <c r="C1426" s="32"/>
      <c r="D1426" s="31"/>
      <c r="E1426" s="31"/>
      <c r="F1426" s="31"/>
      <c r="G1426" s="31"/>
      <c r="H1426" s="31"/>
      <c r="I1426" s="31"/>
      <c r="J1426" s="31"/>
      <c r="K1426" s="31"/>
      <c r="L1426" s="31"/>
      <c r="M1426" s="31"/>
      <c r="N1426" s="33"/>
      <c r="O1426" s="31"/>
    </row>
    <row r="1427" spans="1:15" ht="15" customHeight="1">
      <c r="A1427" s="31"/>
      <c r="B1427" s="31"/>
      <c r="C1427" s="32"/>
      <c r="D1427" s="31"/>
      <c r="E1427" s="31"/>
      <c r="F1427" s="31"/>
      <c r="G1427" s="31"/>
      <c r="H1427" s="31"/>
      <c r="I1427" s="31"/>
      <c r="J1427" s="31"/>
      <c r="K1427" s="31"/>
      <c r="L1427" s="31"/>
      <c r="M1427" s="31"/>
      <c r="N1427" s="33"/>
      <c r="O1427" s="31"/>
    </row>
    <row r="1428" spans="1:15" ht="15" customHeight="1">
      <c r="A1428" s="31"/>
      <c r="B1428" s="31"/>
      <c r="C1428" s="32"/>
      <c r="D1428" s="31"/>
      <c r="E1428" s="31"/>
      <c r="F1428" s="31"/>
      <c r="G1428" s="31"/>
      <c r="H1428" s="31"/>
      <c r="I1428" s="31"/>
      <c r="J1428" s="31"/>
      <c r="K1428" s="31"/>
      <c r="L1428" s="31"/>
      <c r="M1428" s="31"/>
      <c r="N1428" s="33"/>
      <c r="O1428" s="31"/>
    </row>
    <row r="1429" spans="1:15" ht="15" customHeight="1">
      <c r="A1429" s="31"/>
      <c r="B1429" s="31"/>
      <c r="C1429" s="32"/>
      <c r="D1429" s="31"/>
      <c r="E1429" s="31"/>
      <c r="F1429" s="31"/>
      <c r="G1429" s="31"/>
      <c r="H1429" s="31"/>
      <c r="I1429" s="31"/>
      <c r="J1429" s="31"/>
      <c r="K1429" s="31"/>
      <c r="L1429" s="31"/>
      <c r="M1429" s="31"/>
      <c r="N1429" s="33"/>
      <c r="O1429" s="31"/>
    </row>
    <row r="1430" spans="1:15" ht="15" customHeight="1">
      <c r="A1430" s="31"/>
      <c r="B1430" s="31"/>
      <c r="C1430" s="32"/>
      <c r="D1430" s="31"/>
      <c r="E1430" s="31"/>
      <c r="F1430" s="31"/>
      <c r="G1430" s="31"/>
      <c r="H1430" s="31"/>
      <c r="I1430" s="31"/>
      <c r="J1430" s="31"/>
      <c r="K1430" s="31"/>
      <c r="L1430" s="31"/>
      <c r="M1430" s="31"/>
      <c r="N1430" s="33"/>
      <c r="O1430" s="31"/>
    </row>
    <row r="1431" spans="1:15" ht="15" customHeight="1">
      <c r="A1431" s="31"/>
      <c r="B1431" s="31"/>
      <c r="C1431" s="32"/>
      <c r="D1431" s="31"/>
      <c r="E1431" s="31"/>
      <c r="F1431" s="31"/>
      <c r="G1431" s="31"/>
      <c r="H1431" s="31"/>
      <c r="I1431" s="31"/>
      <c r="J1431" s="31"/>
      <c r="K1431" s="31"/>
      <c r="L1431" s="31"/>
      <c r="M1431" s="31"/>
      <c r="N1431" s="33"/>
      <c r="O1431" s="31"/>
    </row>
    <row r="1432" spans="1:15" ht="15" customHeight="1">
      <c r="A1432" s="31"/>
      <c r="B1432" s="31"/>
      <c r="C1432" s="32"/>
      <c r="D1432" s="31"/>
      <c r="E1432" s="31"/>
      <c r="F1432" s="31"/>
      <c r="G1432" s="31"/>
      <c r="H1432" s="31"/>
      <c r="I1432" s="31"/>
      <c r="J1432" s="31"/>
      <c r="K1432" s="31"/>
      <c r="L1432" s="31"/>
      <c r="M1432" s="31"/>
      <c r="N1432" s="33"/>
      <c r="O1432" s="31"/>
    </row>
    <row r="1433" spans="1:15" ht="15" customHeight="1">
      <c r="A1433" s="31"/>
      <c r="B1433" s="31"/>
      <c r="C1433" s="32"/>
      <c r="D1433" s="31"/>
      <c r="E1433" s="31"/>
      <c r="F1433" s="31"/>
      <c r="G1433" s="31"/>
      <c r="H1433" s="31"/>
      <c r="I1433" s="31"/>
      <c r="J1433" s="31"/>
      <c r="K1433" s="31"/>
      <c r="L1433" s="31"/>
      <c r="M1433" s="31"/>
      <c r="N1433" s="33"/>
      <c r="O1433" s="31"/>
    </row>
    <row r="1434" spans="1:15" ht="15" customHeight="1">
      <c r="A1434" s="31"/>
      <c r="B1434" s="31"/>
      <c r="C1434" s="32"/>
      <c r="D1434" s="31"/>
      <c r="E1434" s="31"/>
      <c r="F1434" s="31"/>
      <c r="G1434" s="31"/>
      <c r="H1434" s="31"/>
      <c r="I1434" s="31"/>
      <c r="J1434" s="31"/>
      <c r="K1434" s="31"/>
      <c r="L1434" s="31"/>
      <c r="M1434" s="31"/>
      <c r="N1434" s="33"/>
      <c r="O1434" s="31"/>
    </row>
    <row r="1435" spans="1:15" ht="15" customHeight="1">
      <c r="A1435" s="31"/>
      <c r="B1435" s="31"/>
      <c r="C1435" s="32"/>
      <c r="D1435" s="31"/>
      <c r="E1435" s="31"/>
      <c r="F1435" s="31"/>
      <c r="G1435" s="31"/>
      <c r="H1435" s="31"/>
      <c r="I1435" s="31"/>
      <c r="J1435" s="31"/>
      <c r="K1435" s="31"/>
      <c r="L1435" s="31"/>
      <c r="M1435" s="31"/>
      <c r="N1435" s="33"/>
      <c r="O1435" s="31"/>
    </row>
    <row r="1436" spans="1:15" ht="15" customHeight="1">
      <c r="A1436" s="31"/>
      <c r="B1436" s="31"/>
      <c r="C1436" s="32"/>
      <c r="D1436" s="31"/>
      <c r="E1436" s="31"/>
      <c r="F1436" s="31"/>
      <c r="G1436" s="31"/>
      <c r="H1436" s="31"/>
      <c r="I1436" s="31"/>
      <c r="J1436" s="31"/>
      <c r="K1436" s="31"/>
      <c r="L1436" s="31"/>
      <c r="M1436" s="31"/>
      <c r="N1436" s="33"/>
      <c r="O1436" s="31"/>
    </row>
    <row r="1437" spans="1:15" ht="15" customHeight="1">
      <c r="A1437" s="31"/>
      <c r="B1437" s="31"/>
      <c r="C1437" s="32"/>
      <c r="D1437" s="31"/>
      <c r="E1437" s="31"/>
      <c r="F1437" s="31"/>
      <c r="G1437" s="31"/>
      <c r="H1437" s="31"/>
      <c r="I1437" s="31"/>
      <c r="J1437" s="31"/>
      <c r="K1437" s="31"/>
      <c r="L1437" s="31"/>
      <c r="M1437" s="31"/>
      <c r="N1437" s="33"/>
      <c r="O1437" s="31"/>
    </row>
    <row r="1438" spans="1:15" ht="15" customHeight="1">
      <c r="A1438" s="31"/>
      <c r="B1438" s="31"/>
      <c r="C1438" s="32"/>
      <c r="D1438" s="31"/>
      <c r="E1438" s="31"/>
      <c r="F1438" s="31"/>
      <c r="G1438" s="31"/>
      <c r="H1438" s="31"/>
      <c r="I1438" s="31"/>
      <c r="J1438" s="31"/>
      <c r="K1438" s="31"/>
      <c r="L1438" s="31"/>
      <c r="M1438" s="31"/>
      <c r="N1438" s="33"/>
      <c r="O1438" s="31"/>
    </row>
    <row r="1439" spans="1:15" ht="15" customHeight="1">
      <c r="A1439" s="31"/>
      <c r="B1439" s="31"/>
      <c r="C1439" s="32"/>
      <c r="D1439" s="31"/>
      <c r="E1439" s="31"/>
      <c r="F1439" s="31"/>
      <c r="G1439" s="31"/>
      <c r="H1439" s="31"/>
      <c r="I1439" s="31"/>
      <c r="J1439" s="31"/>
      <c r="K1439" s="31"/>
      <c r="L1439" s="31"/>
      <c r="M1439" s="31"/>
      <c r="N1439" s="33"/>
      <c r="O1439" s="31"/>
    </row>
    <row r="1440" spans="1:15" ht="15" customHeight="1">
      <c r="A1440" s="31"/>
      <c r="B1440" s="31"/>
      <c r="C1440" s="32"/>
      <c r="D1440" s="31"/>
      <c r="E1440" s="31"/>
      <c r="F1440" s="31"/>
      <c r="G1440" s="31"/>
      <c r="H1440" s="31"/>
      <c r="I1440" s="31"/>
      <c r="J1440" s="31"/>
      <c r="K1440" s="31"/>
      <c r="L1440" s="31"/>
      <c r="M1440" s="31"/>
      <c r="N1440" s="33"/>
      <c r="O1440" s="31"/>
    </row>
    <row r="1441" spans="1:15" ht="15" customHeight="1">
      <c r="A1441" s="31"/>
      <c r="B1441" s="31"/>
      <c r="C1441" s="32"/>
      <c r="D1441" s="31"/>
      <c r="E1441" s="31"/>
      <c r="F1441" s="31"/>
      <c r="G1441" s="31"/>
      <c r="H1441" s="31"/>
      <c r="I1441" s="31"/>
      <c r="J1441" s="31"/>
      <c r="K1441" s="31"/>
      <c r="L1441" s="31"/>
      <c r="M1441" s="31"/>
      <c r="N1441" s="33"/>
      <c r="O1441" s="31"/>
    </row>
    <row r="1442" spans="1:15" ht="15" customHeight="1">
      <c r="A1442" s="31"/>
      <c r="B1442" s="31"/>
      <c r="C1442" s="32"/>
      <c r="D1442" s="31"/>
      <c r="E1442" s="31"/>
      <c r="F1442" s="31"/>
      <c r="G1442" s="31"/>
      <c r="H1442" s="31"/>
      <c r="I1442" s="31"/>
      <c r="J1442" s="31"/>
      <c r="K1442" s="31"/>
      <c r="L1442" s="31"/>
      <c r="M1442" s="31"/>
      <c r="N1442" s="33"/>
      <c r="O1442" s="31"/>
    </row>
    <row r="1443" spans="1:15" ht="15" customHeight="1">
      <c r="A1443" s="31"/>
      <c r="B1443" s="31"/>
      <c r="C1443" s="32"/>
      <c r="D1443" s="31"/>
      <c r="E1443" s="31"/>
      <c r="F1443" s="31"/>
      <c r="G1443" s="31"/>
      <c r="H1443" s="31"/>
      <c r="I1443" s="31"/>
      <c r="J1443" s="31"/>
      <c r="K1443" s="31"/>
      <c r="L1443" s="31"/>
      <c r="M1443" s="31"/>
      <c r="N1443" s="33"/>
      <c r="O1443" s="31"/>
    </row>
    <row r="1444" spans="1:15" ht="15" customHeight="1">
      <c r="A1444" s="31"/>
      <c r="B1444" s="31"/>
      <c r="C1444" s="32"/>
      <c r="D1444" s="31"/>
      <c r="E1444" s="31"/>
      <c r="F1444" s="31"/>
      <c r="G1444" s="31"/>
      <c r="H1444" s="31"/>
      <c r="I1444" s="31"/>
      <c r="J1444" s="31"/>
      <c r="K1444" s="31"/>
      <c r="L1444" s="31"/>
      <c r="M1444" s="31"/>
      <c r="N1444" s="33"/>
      <c r="O1444" s="31"/>
    </row>
    <row r="1445" spans="1:15" ht="15" customHeight="1">
      <c r="A1445" s="31"/>
      <c r="B1445" s="31"/>
      <c r="C1445" s="32"/>
      <c r="D1445" s="31"/>
      <c r="E1445" s="31"/>
      <c r="F1445" s="31"/>
      <c r="G1445" s="31"/>
      <c r="H1445" s="31"/>
      <c r="I1445" s="31"/>
      <c r="J1445" s="31"/>
      <c r="K1445" s="31"/>
      <c r="L1445" s="31"/>
      <c r="M1445" s="31"/>
      <c r="N1445" s="33"/>
      <c r="O1445" s="31"/>
    </row>
    <row r="1446" spans="1:15" ht="15" customHeight="1">
      <c r="A1446" s="31"/>
      <c r="B1446" s="31"/>
      <c r="C1446" s="32"/>
      <c r="D1446" s="31"/>
      <c r="E1446" s="31"/>
      <c r="F1446" s="31"/>
      <c r="G1446" s="31"/>
      <c r="H1446" s="31"/>
      <c r="I1446" s="31"/>
      <c r="J1446" s="31"/>
      <c r="K1446" s="31"/>
      <c r="L1446" s="31"/>
      <c r="M1446" s="31"/>
      <c r="N1446" s="33"/>
      <c r="O1446" s="31"/>
    </row>
    <row r="1447" spans="1:15" ht="15" customHeight="1">
      <c r="A1447" s="31"/>
      <c r="B1447" s="31"/>
      <c r="C1447" s="32"/>
      <c r="D1447" s="31"/>
      <c r="E1447" s="31"/>
      <c r="F1447" s="31"/>
      <c r="G1447" s="31"/>
      <c r="H1447" s="31"/>
      <c r="I1447" s="31"/>
      <c r="J1447" s="31"/>
      <c r="K1447" s="31"/>
      <c r="L1447" s="31"/>
      <c r="M1447" s="31"/>
      <c r="N1447" s="33"/>
      <c r="O1447" s="31"/>
    </row>
    <row r="1448" spans="1:15" ht="15" customHeight="1">
      <c r="A1448" s="31"/>
      <c r="B1448" s="31"/>
      <c r="C1448" s="32"/>
      <c r="D1448" s="31"/>
      <c r="E1448" s="31"/>
      <c r="F1448" s="31"/>
      <c r="G1448" s="31"/>
      <c r="H1448" s="31"/>
      <c r="I1448" s="31"/>
      <c r="J1448" s="31"/>
      <c r="K1448" s="31"/>
      <c r="L1448" s="31"/>
      <c r="M1448" s="31"/>
      <c r="N1448" s="33"/>
      <c r="O1448" s="31"/>
    </row>
    <row r="1449" spans="1:15" ht="15" customHeight="1">
      <c r="A1449" s="31"/>
      <c r="B1449" s="31"/>
      <c r="C1449" s="32"/>
      <c r="D1449" s="31"/>
      <c r="E1449" s="31"/>
      <c r="F1449" s="31"/>
      <c r="G1449" s="31"/>
      <c r="H1449" s="31"/>
      <c r="I1449" s="31"/>
      <c r="J1449" s="31"/>
      <c r="K1449" s="31"/>
      <c r="L1449" s="31"/>
      <c r="M1449" s="31"/>
      <c r="N1449" s="33"/>
      <c r="O1449" s="31"/>
    </row>
    <row r="1450" spans="1:15" ht="15" customHeight="1">
      <c r="A1450" s="31"/>
      <c r="B1450" s="31"/>
      <c r="C1450" s="32"/>
      <c r="D1450" s="31"/>
      <c r="E1450" s="31"/>
      <c r="F1450" s="31"/>
      <c r="G1450" s="31"/>
      <c r="H1450" s="31"/>
      <c r="I1450" s="31"/>
      <c r="J1450" s="31"/>
      <c r="K1450" s="31"/>
      <c r="L1450" s="31"/>
      <c r="M1450" s="31"/>
      <c r="N1450" s="33"/>
      <c r="O1450" s="31"/>
    </row>
    <row r="1451" spans="1:15" ht="15" customHeight="1">
      <c r="A1451" s="31"/>
      <c r="B1451" s="31"/>
      <c r="C1451" s="32"/>
      <c r="D1451" s="31"/>
      <c r="E1451" s="31"/>
      <c r="F1451" s="31"/>
      <c r="G1451" s="31"/>
      <c r="H1451" s="31"/>
      <c r="I1451" s="31"/>
      <c r="J1451" s="31"/>
      <c r="K1451" s="31"/>
      <c r="L1451" s="31"/>
      <c r="M1451" s="31"/>
      <c r="N1451" s="33"/>
      <c r="O1451" s="31"/>
    </row>
    <row r="1452" spans="1:15" ht="15" customHeight="1">
      <c r="A1452" s="31"/>
      <c r="B1452" s="31"/>
      <c r="C1452" s="32"/>
      <c r="D1452" s="31"/>
      <c r="E1452" s="31"/>
      <c r="F1452" s="31"/>
      <c r="G1452" s="31"/>
      <c r="H1452" s="31"/>
      <c r="I1452" s="31"/>
      <c r="J1452" s="31"/>
      <c r="K1452" s="31"/>
      <c r="L1452" s="31"/>
      <c r="M1452" s="31"/>
      <c r="N1452" s="33"/>
      <c r="O1452" s="31"/>
    </row>
    <row r="1453" spans="1:15" ht="15" customHeight="1">
      <c r="A1453" s="31"/>
      <c r="B1453" s="31"/>
      <c r="C1453" s="32"/>
      <c r="D1453" s="31"/>
      <c r="E1453" s="31"/>
      <c r="F1453" s="31"/>
      <c r="G1453" s="31"/>
      <c r="H1453" s="31"/>
      <c r="I1453" s="31"/>
      <c r="J1453" s="31"/>
      <c r="K1453" s="31"/>
      <c r="L1453" s="31"/>
      <c r="M1453" s="31"/>
      <c r="N1453" s="33"/>
      <c r="O1453" s="31"/>
    </row>
    <row r="1454" spans="1:15" ht="15" customHeight="1">
      <c r="A1454" s="31"/>
      <c r="B1454" s="31"/>
      <c r="C1454" s="32"/>
      <c r="D1454" s="31"/>
      <c r="E1454" s="31"/>
      <c r="F1454" s="31"/>
      <c r="G1454" s="31"/>
      <c r="H1454" s="31"/>
      <c r="I1454" s="31"/>
      <c r="J1454" s="31"/>
      <c r="K1454" s="31"/>
      <c r="L1454" s="31"/>
      <c r="M1454" s="31"/>
      <c r="N1454" s="33"/>
      <c r="O1454" s="31"/>
    </row>
    <row r="1455" spans="1:15" ht="15" customHeight="1">
      <c r="A1455" s="31"/>
      <c r="B1455" s="31"/>
      <c r="C1455" s="32"/>
      <c r="D1455" s="31"/>
      <c r="E1455" s="31"/>
      <c r="F1455" s="31"/>
      <c r="G1455" s="31"/>
      <c r="H1455" s="31"/>
      <c r="I1455" s="31"/>
      <c r="J1455" s="31"/>
      <c r="K1455" s="31"/>
      <c r="L1455" s="31"/>
      <c r="M1455" s="31"/>
      <c r="N1455" s="33"/>
      <c r="O1455" s="31"/>
    </row>
    <row r="1456" spans="1:15" ht="15" customHeight="1">
      <c r="A1456" s="31"/>
      <c r="B1456" s="31"/>
      <c r="C1456" s="32"/>
      <c r="D1456" s="31"/>
      <c r="E1456" s="31"/>
      <c r="F1456" s="31"/>
      <c r="G1456" s="31"/>
      <c r="H1456" s="31"/>
      <c r="I1456" s="31"/>
      <c r="J1456" s="31"/>
      <c r="K1456" s="31"/>
      <c r="L1456" s="31"/>
      <c r="M1456" s="31"/>
      <c r="N1456" s="33"/>
      <c r="O1456" s="31"/>
    </row>
    <row r="1457" spans="1:15" ht="15" customHeight="1">
      <c r="A1457" s="31"/>
      <c r="B1457" s="31"/>
      <c r="C1457" s="32"/>
      <c r="D1457" s="31"/>
      <c r="E1457" s="31"/>
      <c r="F1457" s="31"/>
      <c r="G1457" s="31"/>
      <c r="H1457" s="31"/>
      <c r="I1457" s="31"/>
      <c r="J1457" s="31"/>
      <c r="K1457" s="31"/>
      <c r="L1457" s="31"/>
      <c r="M1457" s="31"/>
      <c r="N1457" s="33"/>
      <c r="O1457" s="31"/>
    </row>
    <row r="1458" spans="1:15" ht="15" customHeight="1">
      <c r="A1458" s="31"/>
      <c r="B1458" s="31"/>
      <c r="C1458" s="32"/>
      <c r="D1458" s="31"/>
      <c r="E1458" s="31"/>
      <c r="F1458" s="31"/>
      <c r="G1458" s="31"/>
      <c r="H1458" s="31"/>
      <c r="I1458" s="31"/>
      <c r="J1458" s="31"/>
      <c r="K1458" s="31"/>
      <c r="L1458" s="31"/>
      <c r="M1458" s="31"/>
      <c r="N1458" s="33"/>
      <c r="O1458" s="31"/>
    </row>
    <row r="1459" spans="1:15" ht="15" customHeight="1">
      <c r="A1459" s="31"/>
      <c r="B1459" s="31"/>
      <c r="C1459" s="32"/>
      <c r="D1459" s="31"/>
      <c r="E1459" s="31"/>
      <c r="F1459" s="31"/>
      <c r="G1459" s="31"/>
      <c r="H1459" s="31"/>
      <c r="I1459" s="31"/>
      <c r="J1459" s="31"/>
      <c r="K1459" s="31"/>
      <c r="L1459" s="31"/>
      <c r="M1459" s="31"/>
      <c r="N1459" s="33"/>
      <c r="O1459" s="31"/>
    </row>
    <row r="1460" spans="1:15" ht="15" customHeight="1">
      <c r="A1460" s="31"/>
      <c r="B1460" s="31"/>
      <c r="C1460" s="32"/>
      <c r="D1460" s="31"/>
      <c r="E1460" s="31"/>
      <c r="F1460" s="31"/>
      <c r="G1460" s="31"/>
      <c r="H1460" s="31"/>
      <c r="I1460" s="31"/>
      <c r="J1460" s="31"/>
      <c r="K1460" s="31"/>
      <c r="L1460" s="31"/>
      <c r="M1460" s="31"/>
      <c r="N1460" s="33"/>
      <c r="O1460" s="31"/>
    </row>
    <row r="1461" spans="1:15" ht="15" customHeight="1">
      <c r="A1461" s="31"/>
      <c r="B1461" s="31"/>
      <c r="C1461" s="32"/>
      <c r="D1461" s="31"/>
      <c r="E1461" s="31"/>
      <c r="F1461" s="31"/>
      <c r="G1461" s="31"/>
      <c r="H1461" s="31"/>
      <c r="I1461" s="31"/>
      <c r="J1461" s="31"/>
      <c r="K1461" s="31"/>
      <c r="L1461" s="31"/>
      <c r="M1461" s="31"/>
      <c r="N1461" s="33"/>
      <c r="O1461" s="31"/>
    </row>
    <row r="1462" spans="1:15" ht="15" customHeight="1">
      <c r="A1462" s="31"/>
      <c r="B1462" s="31"/>
      <c r="C1462" s="32"/>
      <c r="D1462" s="31"/>
      <c r="E1462" s="31"/>
      <c r="F1462" s="31"/>
      <c r="G1462" s="31"/>
      <c r="H1462" s="31"/>
      <c r="I1462" s="31"/>
      <c r="J1462" s="31"/>
      <c r="K1462" s="31"/>
      <c r="L1462" s="31"/>
      <c r="M1462" s="31"/>
      <c r="N1462" s="33"/>
      <c r="O1462" s="31"/>
    </row>
    <row r="1463" spans="1:15" ht="15" customHeight="1">
      <c r="A1463" s="31"/>
      <c r="B1463" s="31"/>
      <c r="C1463" s="32"/>
      <c r="D1463" s="31"/>
      <c r="E1463" s="31"/>
      <c r="F1463" s="31"/>
      <c r="G1463" s="31"/>
      <c r="H1463" s="31"/>
      <c r="I1463" s="31"/>
      <c r="J1463" s="31"/>
      <c r="K1463" s="31"/>
      <c r="L1463" s="31"/>
      <c r="M1463" s="31"/>
      <c r="N1463" s="33"/>
      <c r="O1463" s="31"/>
    </row>
    <row r="1464" spans="1:15" ht="15" customHeight="1">
      <c r="A1464" s="31"/>
      <c r="B1464" s="31"/>
      <c r="C1464" s="32"/>
      <c r="D1464" s="31"/>
      <c r="E1464" s="31"/>
      <c r="F1464" s="31"/>
      <c r="G1464" s="31"/>
      <c r="H1464" s="31"/>
      <c r="I1464" s="31"/>
      <c r="J1464" s="31"/>
      <c r="K1464" s="31"/>
      <c r="L1464" s="31"/>
      <c r="M1464" s="31"/>
      <c r="N1464" s="33"/>
      <c r="O1464" s="31"/>
    </row>
    <row r="1465" spans="1:15" ht="15" customHeight="1">
      <c r="A1465" s="31"/>
      <c r="B1465" s="31"/>
      <c r="C1465" s="32"/>
      <c r="D1465" s="31"/>
      <c r="E1465" s="31"/>
      <c r="F1465" s="31"/>
      <c r="G1465" s="31"/>
      <c r="H1465" s="31"/>
      <c r="I1465" s="31"/>
      <c r="J1465" s="31"/>
      <c r="K1465" s="31"/>
      <c r="L1465" s="31"/>
      <c r="M1465" s="31"/>
      <c r="N1465" s="33"/>
      <c r="O1465" s="31"/>
    </row>
    <row r="1466" spans="1:15" ht="15" customHeight="1">
      <c r="A1466" s="31"/>
      <c r="B1466" s="31"/>
      <c r="C1466" s="32"/>
      <c r="D1466" s="31"/>
      <c r="E1466" s="31"/>
      <c r="F1466" s="31"/>
      <c r="G1466" s="31"/>
      <c r="H1466" s="31"/>
      <c r="I1466" s="31"/>
      <c r="J1466" s="31"/>
      <c r="K1466" s="31"/>
      <c r="L1466" s="31"/>
      <c r="M1466" s="31"/>
      <c r="N1466" s="33"/>
      <c r="O1466" s="31"/>
    </row>
    <row r="1467" spans="1:15" ht="15" customHeight="1">
      <c r="A1467" s="31"/>
      <c r="B1467" s="31"/>
      <c r="C1467" s="32"/>
      <c r="D1467" s="31"/>
      <c r="E1467" s="31"/>
      <c r="F1467" s="31"/>
      <c r="G1467" s="31"/>
      <c r="H1467" s="31"/>
      <c r="I1467" s="31"/>
      <c r="J1467" s="31"/>
      <c r="K1467" s="31"/>
      <c r="L1467" s="31"/>
      <c r="M1467" s="31"/>
      <c r="N1467" s="33"/>
      <c r="O1467" s="31"/>
    </row>
    <row r="1468" spans="1:15" ht="15" customHeight="1">
      <c r="A1468" s="31"/>
      <c r="B1468" s="31"/>
      <c r="C1468" s="32"/>
      <c r="D1468" s="31"/>
      <c r="E1468" s="31"/>
      <c r="F1468" s="31"/>
      <c r="G1468" s="31"/>
      <c r="H1468" s="31"/>
      <c r="I1468" s="31"/>
      <c r="J1468" s="31"/>
      <c r="K1468" s="31"/>
      <c r="L1468" s="31"/>
      <c r="M1468" s="31"/>
      <c r="N1468" s="33"/>
      <c r="O1468" s="31"/>
    </row>
    <row r="1469" spans="1:15" ht="15" customHeight="1">
      <c r="A1469" s="31"/>
      <c r="B1469" s="31"/>
      <c r="C1469" s="32"/>
      <c r="D1469" s="31"/>
      <c r="E1469" s="31"/>
      <c r="F1469" s="31"/>
      <c r="G1469" s="31"/>
      <c r="H1469" s="31"/>
      <c r="I1469" s="31"/>
      <c r="J1469" s="31"/>
      <c r="K1469" s="31"/>
      <c r="L1469" s="31"/>
      <c r="M1469" s="31"/>
      <c r="N1469" s="33"/>
      <c r="O1469" s="31"/>
    </row>
    <row r="1470" spans="1:15" ht="15" customHeight="1">
      <c r="A1470" s="31"/>
      <c r="B1470" s="31"/>
      <c r="C1470" s="32"/>
      <c r="D1470" s="31"/>
      <c r="E1470" s="31"/>
      <c r="F1470" s="31"/>
      <c r="G1470" s="31"/>
      <c r="H1470" s="31"/>
      <c r="I1470" s="31"/>
      <c r="J1470" s="31"/>
      <c r="K1470" s="31"/>
      <c r="L1470" s="31"/>
      <c r="M1470" s="31"/>
      <c r="N1470" s="33"/>
      <c r="O1470" s="31"/>
    </row>
    <row r="1471" spans="1:15" ht="15" customHeight="1">
      <c r="A1471" s="31"/>
      <c r="B1471" s="31"/>
      <c r="C1471" s="32"/>
      <c r="D1471" s="31"/>
      <c r="E1471" s="31"/>
      <c r="F1471" s="31"/>
      <c r="G1471" s="31"/>
      <c r="H1471" s="31"/>
      <c r="I1471" s="31"/>
      <c r="J1471" s="31"/>
      <c r="K1471" s="31"/>
      <c r="L1471" s="31"/>
      <c r="M1471" s="31"/>
      <c r="N1471" s="33"/>
      <c r="O1471" s="31"/>
    </row>
    <row r="1472" spans="1:15" ht="15" customHeight="1">
      <c r="A1472" s="31"/>
      <c r="B1472" s="31"/>
      <c r="C1472" s="32"/>
      <c r="D1472" s="31"/>
      <c r="E1472" s="31"/>
      <c r="F1472" s="31"/>
      <c r="G1472" s="31"/>
      <c r="H1472" s="31"/>
      <c r="I1472" s="31"/>
      <c r="J1472" s="31"/>
      <c r="K1472" s="31"/>
      <c r="L1472" s="31"/>
      <c r="M1472" s="31"/>
      <c r="N1472" s="33"/>
      <c r="O1472" s="31"/>
    </row>
    <row r="1473" spans="1:15" ht="15" customHeight="1">
      <c r="A1473" s="31"/>
      <c r="B1473" s="31"/>
      <c r="C1473" s="32"/>
      <c r="D1473" s="31"/>
      <c r="E1473" s="31"/>
      <c r="F1473" s="31"/>
      <c r="G1473" s="31"/>
      <c r="H1473" s="31"/>
      <c r="I1473" s="31"/>
      <c r="J1473" s="31"/>
      <c r="K1473" s="31"/>
      <c r="L1473" s="31"/>
      <c r="M1473" s="31"/>
      <c r="N1473" s="33"/>
      <c r="O1473" s="31"/>
    </row>
    <row r="1474" spans="1:15" ht="15" customHeight="1">
      <c r="A1474" s="31"/>
      <c r="B1474" s="31"/>
      <c r="C1474" s="32"/>
      <c r="D1474" s="31"/>
      <c r="E1474" s="31"/>
      <c r="F1474" s="31"/>
      <c r="G1474" s="31"/>
      <c r="H1474" s="31"/>
      <c r="I1474" s="31"/>
      <c r="J1474" s="31"/>
      <c r="K1474" s="31"/>
      <c r="L1474" s="31"/>
      <c r="M1474" s="31"/>
      <c r="N1474" s="33"/>
      <c r="O1474" s="31"/>
    </row>
    <row r="1475" spans="1:15" ht="15" customHeight="1">
      <c r="A1475" s="31"/>
      <c r="B1475" s="31"/>
      <c r="C1475" s="32"/>
      <c r="D1475" s="31"/>
      <c r="E1475" s="31"/>
      <c r="F1475" s="31"/>
      <c r="G1475" s="31"/>
      <c r="H1475" s="31"/>
      <c r="I1475" s="31"/>
      <c r="J1475" s="31"/>
      <c r="K1475" s="31"/>
      <c r="L1475" s="31"/>
      <c r="M1475" s="31"/>
      <c r="N1475" s="33"/>
      <c r="O1475" s="31"/>
    </row>
    <row r="1476" spans="1:15" ht="15" customHeight="1">
      <c r="A1476" s="31"/>
      <c r="B1476" s="31"/>
      <c r="C1476" s="32"/>
      <c r="D1476" s="31"/>
      <c r="E1476" s="31"/>
      <c r="F1476" s="31"/>
      <c r="G1476" s="31"/>
      <c r="H1476" s="31"/>
      <c r="I1476" s="31"/>
      <c r="J1476" s="31"/>
      <c r="K1476" s="31"/>
      <c r="L1476" s="31"/>
      <c r="M1476" s="31"/>
      <c r="N1476" s="33"/>
      <c r="O1476" s="31"/>
    </row>
    <row r="1477" spans="1:15" ht="15" customHeight="1">
      <c r="A1477" s="31"/>
      <c r="B1477" s="31"/>
      <c r="C1477" s="32"/>
      <c r="D1477" s="31"/>
      <c r="E1477" s="31"/>
      <c r="F1477" s="31"/>
      <c r="G1477" s="31"/>
      <c r="H1477" s="31"/>
      <c r="I1477" s="31"/>
      <c r="J1477" s="31"/>
      <c r="K1477" s="31"/>
      <c r="L1477" s="31"/>
      <c r="M1477" s="31"/>
      <c r="N1477" s="33"/>
      <c r="O1477" s="31"/>
    </row>
    <row r="1478" spans="1:15" ht="15" customHeight="1">
      <c r="A1478" s="31"/>
      <c r="B1478" s="31"/>
      <c r="C1478" s="32"/>
      <c r="D1478" s="31"/>
      <c r="E1478" s="31"/>
      <c r="F1478" s="31"/>
      <c r="G1478" s="31"/>
      <c r="H1478" s="31"/>
      <c r="I1478" s="31"/>
      <c r="J1478" s="31"/>
      <c r="K1478" s="31"/>
      <c r="L1478" s="31"/>
      <c r="M1478" s="31"/>
      <c r="N1478" s="33"/>
      <c r="O1478" s="31"/>
    </row>
    <row r="1479" spans="1:15" ht="15" customHeight="1">
      <c r="A1479" s="31"/>
      <c r="B1479" s="31"/>
      <c r="C1479" s="32"/>
      <c r="D1479" s="31"/>
      <c r="E1479" s="31"/>
      <c r="F1479" s="31"/>
      <c r="G1479" s="31"/>
      <c r="H1479" s="31"/>
      <c r="I1479" s="31"/>
      <c r="J1479" s="31"/>
      <c r="K1479" s="31"/>
      <c r="L1479" s="31"/>
      <c r="M1479" s="31"/>
      <c r="N1479" s="33"/>
      <c r="O1479" s="31"/>
    </row>
    <row r="1480" spans="1:15" ht="15" customHeight="1">
      <c r="A1480" s="31"/>
      <c r="B1480" s="31"/>
      <c r="C1480" s="32"/>
      <c r="D1480" s="31"/>
      <c r="E1480" s="31"/>
      <c r="F1480" s="31"/>
      <c r="G1480" s="31"/>
      <c r="H1480" s="31"/>
      <c r="I1480" s="31"/>
      <c r="J1480" s="31"/>
      <c r="K1480" s="31"/>
      <c r="L1480" s="31"/>
      <c r="M1480" s="31"/>
      <c r="N1480" s="33"/>
      <c r="O1480" s="31"/>
    </row>
    <row r="1481" spans="1:15" ht="15" customHeight="1">
      <c r="A1481" s="31"/>
      <c r="B1481" s="31"/>
      <c r="C1481" s="32"/>
      <c r="D1481" s="31"/>
      <c r="E1481" s="31"/>
      <c r="F1481" s="31"/>
      <c r="G1481" s="31"/>
      <c r="H1481" s="31"/>
      <c r="I1481" s="31"/>
      <c r="J1481" s="31"/>
      <c r="K1481" s="31"/>
      <c r="L1481" s="31"/>
      <c r="M1481" s="31"/>
      <c r="N1481" s="33"/>
      <c r="O1481" s="31"/>
    </row>
    <row r="1482" spans="1:15" ht="15" customHeight="1">
      <c r="A1482" s="31"/>
      <c r="B1482" s="31"/>
      <c r="C1482" s="32"/>
      <c r="D1482" s="31"/>
      <c r="E1482" s="31"/>
      <c r="F1482" s="31"/>
      <c r="G1482" s="31"/>
      <c r="H1482" s="31"/>
      <c r="I1482" s="31"/>
      <c r="J1482" s="31"/>
      <c r="K1482" s="31"/>
      <c r="L1482" s="31"/>
      <c r="M1482" s="31"/>
      <c r="N1482" s="33"/>
      <c r="O1482" s="31"/>
    </row>
    <row r="1483" spans="1:15" ht="15" customHeight="1">
      <c r="A1483" s="31"/>
      <c r="B1483" s="31"/>
      <c r="C1483" s="32"/>
      <c r="D1483" s="31"/>
      <c r="E1483" s="31"/>
      <c r="F1483" s="31"/>
      <c r="G1483" s="31"/>
      <c r="H1483" s="31"/>
      <c r="I1483" s="31"/>
      <c r="J1483" s="31"/>
      <c r="K1483" s="31"/>
      <c r="L1483" s="31"/>
      <c r="M1483" s="31"/>
      <c r="N1483" s="33"/>
      <c r="O1483" s="31"/>
    </row>
    <row r="1484" spans="1:15" ht="15" customHeight="1">
      <c r="A1484" s="31"/>
      <c r="B1484" s="31"/>
      <c r="C1484" s="32"/>
      <c r="D1484" s="31"/>
      <c r="E1484" s="31"/>
      <c r="F1484" s="31"/>
      <c r="G1484" s="31"/>
      <c r="H1484" s="31"/>
      <c r="I1484" s="31"/>
      <c r="J1484" s="31"/>
      <c r="K1484" s="31"/>
      <c r="L1484" s="31"/>
      <c r="M1484" s="31"/>
      <c r="N1484" s="33"/>
      <c r="O1484" s="31"/>
    </row>
    <row r="1485" spans="1:15" ht="15" customHeight="1">
      <c r="A1485" s="31"/>
      <c r="B1485" s="31"/>
      <c r="C1485" s="32"/>
      <c r="D1485" s="31"/>
      <c r="E1485" s="31"/>
      <c r="F1485" s="31"/>
      <c r="G1485" s="31"/>
      <c r="H1485" s="31"/>
      <c r="I1485" s="31"/>
      <c r="J1485" s="31"/>
      <c r="K1485" s="31"/>
      <c r="L1485" s="31"/>
      <c r="M1485" s="31"/>
      <c r="N1485" s="33"/>
      <c r="O1485" s="31"/>
    </row>
    <row r="1486" spans="1:15" ht="15" customHeight="1">
      <c r="A1486" s="31"/>
      <c r="B1486" s="31"/>
      <c r="C1486" s="32"/>
      <c r="D1486" s="31"/>
      <c r="E1486" s="31"/>
      <c r="F1486" s="31"/>
      <c r="G1486" s="31"/>
      <c r="H1486" s="31"/>
      <c r="I1486" s="31"/>
      <c r="J1486" s="31"/>
      <c r="K1486" s="31"/>
      <c r="L1486" s="31"/>
      <c r="M1486" s="31"/>
      <c r="N1486" s="33"/>
      <c r="O1486" s="31"/>
    </row>
    <row r="1487" spans="1:15" ht="15" customHeight="1">
      <c r="A1487" s="31"/>
      <c r="B1487" s="31"/>
      <c r="C1487" s="32"/>
      <c r="D1487" s="31"/>
      <c r="E1487" s="31"/>
      <c r="F1487" s="31"/>
      <c r="G1487" s="31"/>
      <c r="H1487" s="31"/>
      <c r="I1487" s="31"/>
      <c r="J1487" s="31"/>
      <c r="K1487" s="31"/>
      <c r="L1487" s="31"/>
      <c r="M1487" s="31"/>
      <c r="N1487" s="33"/>
      <c r="O1487" s="31"/>
    </row>
    <row r="1488" spans="1:15" ht="15" customHeight="1">
      <c r="A1488" s="31"/>
      <c r="B1488" s="31"/>
      <c r="C1488" s="32"/>
      <c r="D1488" s="31"/>
      <c r="E1488" s="31"/>
      <c r="F1488" s="31"/>
      <c r="G1488" s="31"/>
      <c r="H1488" s="31"/>
      <c r="I1488" s="31"/>
      <c r="J1488" s="31"/>
      <c r="K1488" s="31"/>
      <c r="L1488" s="31"/>
      <c r="M1488" s="31"/>
      <c r="N1488" s="33"/>
      <c r="O1488" s="31"/>
    </row>
    <row r="1489" spans="1:15" ht="15" customHeight="1">
      <c r="A1489" s="31"/>
      <c r="B1489" s="31"/>
      <c r="C1489" s="32"/>
      <c r="D1489" s="31"/>
      <c r="E1489" s="31"/>
      <c r="F1489" s="31"/>
      <c r="G1489" s="31"/>
      <c r="H1489" s="31"/>
      <c r="I1489" s="31"/>
      <c r="J1489" s="31"/>
      <c r="K1489" s="31"/>
      <c r="L1489" s="31"/>
      <c r="M1489" s="31"/>
      <c r="N1489" s="33"/>
      <c r="O1489" s="31"/>
    </row>
    <row r="1490" spans="1:15" ht="15" customHeight="1">
      <c r="A1490" s="31"/>
      <c r="B1490" s="31"/>
      <c r="C1490" s="32"/>
      <c r="D1490" s="31"/>
      <c r="E1490" s="31"/>
      <c r="F1490" s="31"/>
      <c r="G1490" s="31"/>
      <c r="H1490" s="31"/>
      <c r="I1490" s="31"/>
      <c r="J1490" s="31"/>
      <c r="K1490" s="31"/>
      <c r="L1490" s="31"/>
      <c r="M1490" s="31"/>
      <c r="N1490" s="33"/>
      <c r="O1490" s="31"/>
    </row>
    <row r="1491" spans="1:15" ht="15" customHeight="1">
      <c r="A1491" s="31"/>
      <c r="B1491" s="31"/>
      <c r="C1491" s="32"/>
      <c r="D1491" s="31"/>
      <c r="E1491" s="31"/>
      <c r="F1491" s="31"/>
      <c r="G1491" s="31"/>
      <c r="H1491" s="31"/>
      <c r="I1491" s="31"/>
      <c r="J1491" s="31"/>
      <c r="K1491" s="31"/>
      <c r="L1491" s="31"/>
      <c r="M1491" s="31"/>
      <c r="N1491" s="33"/>
      <c r="O1491" s="31"/>
    </row>
    <row r="1492" spans="1:15" ht="15" customHeight="1">
      <c r="A1492" s="31"/>
      <c r="B1492" s="31"/>
      <c r="C1492" s="32"/>
      <c r="D1492" s="31"/>
      <c r="E1492" s="31"/>
      <c r="F1492" s="31"/>
      <c r="G1492" s="31"/>
      <c r="H1492" s="31"/>
      <c r="I1492" s="31"/>
      <c r="J1492" s="31"/>
      <c r="K1492" s="31"/>
      <c r="L1492" s="31"/>
      <c r="M1492" s="31"/>
      <c r="N1492" s="33"/>
      <c r="O1492" s="31"/>
    </row>
    <row r="1493" spans="1:15" ht="15" customHeight="1">
      <c r="A1493" s="31"/>
      <c r="B1493" s="31"/>
      <c r="C1493" s="32"/>
      <c r="D1493" s="31"/>
      <c r="E1493" s="31"/>
      <c r="F1493" s="31"/>
      <c r="G1493" s="31"/>
      <c r="H1493" s="31"/>
      <c r="I1493" s="31"/>
      <c r="J1493" s="31"/>
      <c r="K1493" s="31"/>
      <c r="L1493" s="31"/>
      <c r="M1493" s="31"/>
      <c r="N1493" s="33"/>
      <c r="O1493" s="31"/>
    </row>
    <row r="1494" spans="1:15" ht="15" customHeight="1">
      <c r="A1494" s="31"/>
      <c r="B1494" s="31"/>
      <c r="C1494" s="32"/>
      <c r="D1494" s="31"/>
      <c r="E1494" s="31"/>
      <c r="F1494" s="31"/>
      <c r="G1494" s="31"/>
      <c r="H1494" s="31"/>
      <c r="I1494" s="31"/>
      <c r="J1494" s="31"/>
      <c r="K1494" s="31"/>
      <c r="L1494" s="31"/>
      <c r="M1494" s="31"/>
      <c r="N1494" s="33"/>
      <c r="O1494" s="31"/>
    </row>
    <row r="1495" spans="1:15" ht="15" customHeight="1">
      <c r="A1495" s="31"/>
      <c r="B1495" s="31"/>
      <c r="C1495" s="32"/>
      <c r="D1495" s="31"/>
      <c r="E1495" s="31"/>
      <c r="F1495" s="31"/>
      <c r="G1495" s="31"/>
      <c r="H1495" s="31"/>
      <c r="I1495" s="31"/>
      <c r="J1495" s="31"/>
      <c r="K1495" s="31"/>
      <c r="L1495" s="31"/>
      <c r="M1495" s="31"/>
      <c r="N1495" s="33"/>
      <c r="O1495" s="31"/>
    </row>
    <row r="1496" spans="1:15" ht="15" customHeight="1">
      <c r="A1496" s="31"/>
      <c r="B1496" s="31"/>
      <c r="C1496" s="32"/>
      <c r="D1496" s="31"/>
      <c r="E1496" s="31"/>
      <c r="F1496" s="31"/>
      <c r="G1496" s="31"/>
      <c r="H1496" s="31"/>
      <c r="I1496" s="31"/>
      <c r="J1496" s="31"/>
      <c r="K1496" s="31"/>
      <c r="L1496" s="31"/>
      <c r="M1496" s="31"/>
      <c r="N1496" s="33"/>
      <c r="O1496" s="31"/>
    </row>
    <row r="1497" spans="1:15" ht="15" customHeight="1">
      <c r="A1497" s="31"/>
      <c r="B1497" s="31"/>
      <c r="C1497" s="32"/>
      <c r="D1497" s="31"/>
      <c r="E1497" s="31"/>
      <c r="F1497" s="31"/>
      <c r="G1497" s="31"/>
      <c r="H1497" s="31"/>
      <c r="I1497" s="31"/>
      <c r="J1497" s="31"/>
      <c r="K1497" s="31"/>
      <c r="L1497" s="31"/>
      <c r="M1497" s="31"/>
      <c r="N1497" s="33"/>
      <c r="O1497" s="31"/>
    </row>
    <row r="1498" spans="1:15" ht="15" customHeight="1">
      <c r="A1498" s="31"/>
      <c r="B1498" s="31"/>
      <c r="C1498" s="32"/>
      <c r="D1498" s="31"/>
      <c r="E1498" s="31"/>
      <c r="F1498" s="31"/>
      <c r="G1498" s="31"/>
      <c r="H1498" s="31"/>
      <c r="I1498" s="31"/>
      <c r="J1498" s="31"/>
      <c r="K1498" s="31"/>
      <c r="L1498" s="31"/>
      <c r="M1498" s="31"/>
      <c r="N1498" s="33"/>
      <c r="O1498" s="31"/>
    </row>
    <row r="1499" spans="1:15" ht="15" customHeight="1">
      <c r="A1499" s="31"/>
      <c r="B1499" s="31"/>
      <c r="C1499" s="32"/>
      <c r="D1499" s="31"/>
      <c r="E1499" s="31"/>
      <c r="F1499" s="31"/>
      <c r="G1499" s="31"/>
      <c r="H1499" s="31"/>
      <c r="I1499" s="31"/>
      <c r="J1499" s="31"/>
      <c r="K1499" s="31"/>
      <c r="L1499" s="31"/>
      <c r="M1499" s="31"/>
      <c r="N1499" s="33"/>
      <c r="O1499" s="31"/>
    </row>
    <row r="1500" spans="1:15" ht="15" customHeight="1">
      <c r="A1500" s="31"/>
      <c r="B1500" s="31"/>
      <c r="C1500" s="32"/>
      <c r="D1500" s="31"/>
      <c r="E1500" s="31"/>
      <c r="F1500" s="31"/>
      <c r="G1500" s="31"/>
      <c r="H1500" s="31"/>
      <c r="I1500" s="31"/>
      <c r="J1500" s="31"/>
      <c r="K1500" s="31"/>
      <c r="L1500" s="31"/>
      <c r="M1500" s="31"/>
      <c r="N1500" s="33"/>
      <c r="O1500" s="31"/>
    </row>
    <row r="1501" spans="1:15" ht="15" customHeight="1">
      <c r="A1501" s="31"/>
      <c r="B1501" s="31"/>
      <c r="C1501" s="32"/>
      <c r="D1501" s="31"/>
      <c r="E1501" s="31"/>
      <c r="F1501" s="31"/>
      <c r="G1501" s="31"/>
      <c r="H1501" s="31"/>
      <c r="I1501" s="31"/>
      <c r="J1501" s="31"/>
      <c r="K1501" s="31"/>
      <c r="L1501" s="31"/>
      <c r="M1501" s="31"/>
      <c r="N1501" s="33"/>
      <c r="O1501" s="31"/>
    </row>
    <row r="1502" spans="1:15" ht="15" customHeight="1">
      <c r="A1502" s="31"/>
      <c r="B1502" s="31"/>
      <c r="C1502" s="32"/>
      <c r="D1502" s="31"/>
      <c r="E1502" s="31"/>
      <c r="F1502" s="31"/>
      <c r="G1502" s="31"/>
      <c r="H1502" s="31"/>
      <c r="I1502" s="31"/>
      <c r="J1502" s="31"/>
      <c r="K1502" s="31"/>
      <c r="L1502" s="31"/>
      <c r="M1502" s="31"/>
      <c r="N1502" s="33"/>
      <c r="O1502" s="31"/>
    </row>
    <row r="1503" spans="1:15" ht="15" customHeight="1">
      <c r="A1503" s="31"/>
      <c r="B1503" s="31"/>
      <c r="C1503" s="32"/>
      <c r="D1503" s="31"/>
      <c r="E1503" s="31"/>
      <c r="F1503" s="31"/>
      <c r="G1503" s="31"/>
      <c r="H1503" s="31"/>
      <c r="I1503" s="31"/>
      <c r="J1503" s="31"/>
      <c r="K1503" s="31"/>
      <c r="L1503" s="31"/>
      <c r="M1503" s="31"/>
      <c r="N1503" s="33"/>
      <c r="O1503" s="31"/>
    </row>
    <row r="1504" spans="1:15" ht="15" customHeight="1">
      <c r="A1504" s="31"/>
      <c r="B1504" s="31"/>
      <c r="C1504" s="32"/>
      <c r="D1504" s="31"/>
      <c r="E1504" s="31"/>
      <c r="F1504" s="31"/>
      <c r="G1504" s="31"/>
      <c r="H1504" s="31"/>
      <c r="I1504" s="31"/>
      <c r="J1504" s="31"/>
      <c r="K1504" s="31"/>
      <c r="L1504" s="31"/>
      <c r="M1504" s="31"/>
      <c r="N1504" s="33"/>
      <c r="O1504" s="31"/>
    </row>
    <row r="1505" spans="1:15" ht="15" customHeight="1">
      <c r="A1505" s="31"/>
      <c r="B1505" s="31"/>
      <c r="C1505" s="32"/>
      <c r="D1505" s="31"/>
      <c r="E1505" s="31"/>
      <c r="F1505" s="31"/>
      <c r="G1505" s="31"/>
      <c r="H1505" s="31"/>
      <c r="I1505" s="31"/>
      <c r="J1505" s="31"/>
      <c r="K1505" s="31"/>
      <c r="L1505" s="31"/>
      <c r="M1505" s="31"/>
      <c r="N1505" s="33"/>
      <c r="O1505" s="31"/>
    </row>
    <row r="1506" spans="1:15" ht="15" customHeight="1">
      <c r="A1506" s="31"/>
      <c r="B1506" s="31"/>
      <c r="C1506" s="32"/>
      <c r="D1506" s="31"/>
      <c r="E1506" s="31"/>
      <c r="F1506" s="31"/>
      <c r="G1506" s="31"/>
      <c r="H1506" s="31"/>
      <c r="I1506" s="31"/>
      <c r="J1506" s="31"/>
      <c r="K1506" s="31"/>
      <c r="L1506" s="31"/>
      <c r="M1506" s="31"/>
      <c r="N1506" s="33"/>
      <c r="O1506" s="31"/>
    </row>
    <row r="1507" spans="1:15" ht="15" customHeight="1">
      <c r="A1507" s="31"/>
      <c r="B1507" s="31"/>
      <c r="C1507" s="32"/>
      <c r="D1507" s="31"/>
      <c r="E1507" s="31"/>
      <c r="F1507" s="31"/>
      <c r="G1507" s="31"/>
      <c r="H1507" s="31"/>
      <c r="I1507" s="31"/>
      <c r="J1507" s="31"/>
      <c r="K1507" s="31"/>
      <c r="L1507" s="31"/>
      <c r="M1507" s="31"/>
      <c r="N1507" s="33"/>
      <c r="O1507" s="31"/>
    </row>
    <row r="1508" spans="1:15" ht="15" customHeight="1">
      <c r="A1508" s="31"/>
      <c r="B1508" s="31"/>
      <c r="C1508" s="32"/>
      <c r="D1508" s="31"/>
      <c r="E1508" s="31"/>
      <c r="F1508" s="31"/>
      <c r="G1508" s="31"/>
      <c r="H1508" s="31"/>
      <c r="I1508" s="31"/>
      <c r="J1508" s="31"/>
      <c r="K1508" s="31"/>
      <c r="L1508" s="31"/>
      <c r="M1508" s="31"/>
      <c r="N1508" s="33"/>
      <c r="O1508" s="31"/>
    </row>
    <row r="1509" spans="1:15" ht="15" customHeight="1">
      <c r="A1509" s="31"/>
      <c r="B1509" s="31"/>
      <c r="C1509" s="32"/>
      <c r="D1509" s="31"/>
      <c r="E1509" s="31"/>
      <c r="F1509" s="31"/>
      <c r="G1509" s="31"/>
      <c r="H1509" s="31"/>
      <c r="I1509" s="31"/>
      <c r="J1509" s="31"/>
      <c r="K1509" s="31"/>
      <c r="L1509" s="31"/>
      <c r="M1509" s="31"/>
      <c r="N1509" s="33"/>
      <c r="O1509" s="31"/>
    </row>
    <row r="1510" spans="1:15" ht="15" customHeight="1">
      <c r="A1510" s="31"/>
      <c r="B1510" s="31"/>
      <c r="C1510" s="32"/>
      <c r="D1510" s="31"/>
      <c r="E1510" s="31"/>
      <c r="F1510" s="31"/>
      <c r="G1510" s="31"/>
      <c r="H1510" s="31"/>
      <c r="I1510" s="31"/>
      <c r="J1510" s="31"/>
      <c r="K1510" s="31"/>
      <c r="L1510" s="31"/>
      <c r="M1510" s="31"/>
      <c r="N1510" s="33"/>
      <c r="O1510" s="31"/>
    </row>
    <row r="1511" spans="1:15" ht="15" customHeight="1">
      <c r="A1511" s="31"/>
      <c r="B1511" s="31"/>
      <c r="C1511" s="32"/>
      <c r="D1511" s="31"/>
      <c r="E1511" s="31"/>
      <c r="F1511" s="31"/>
      <c r="G1511" s="31"/>
      <c r="H1511" s="31"/>
      <c r="I1511" s="31"/>
      <c r="J1511" s="31"/>
      <c r="K1511" s="31"/>
      <c r="L1511" s="31"/>
      <c r="M1511" s="31"/>
      <c r="N1511" s="33"/>
      <c r="O1511" s="31"/>
    </row>
    <row r="1512" spans="1:15" ht="15" customHeight="1">
      <c r="A1512" s="31"/>
      <c r="B1512" s="31"/>
      <c r="C1512" s="32"/>
      <c r="D1512" s="31"/>
      <c r="E1512" s="31"/>
      <c r="F1512" s="31"/>
      <c r="G1512" s="31"/>
      <c r="H1512" s="31"/>
      <c r="I1512" s="31"/>
      <c r="J1512" s="31"/>
      <c r="K1512" s="31"/>
      <c r="L1512" s="31"/>
      <c r="M1512" s="31"/>
      <c r="N1512" s="33"/>
      <c r="O1512" s="31"/>
    </row>
    <row r="1513" spans="1:15" ht="15" customHeight="1">
      <c r="A1513" s="31"/>
      <c r="B1513" s="31"/>
      <c r="C1513" s="32"/>
      <c r="D1513" s="31"/>
      <c r="E1513" s="31"/>
      <c r="F1513" s="31"/>
      <c r="G1513" s="31"/>
      <c r="H1513" s="31"/>
      <c r="I1513" s="31"/>
      <c r="J1513" s="31"/>
      <c r="K1513" s="31"/>
      <c r="L1513" s="31"/>
      <c r="M1513" s="31"/>
      <c r="N1513" s="33"/>
      <c r="O1513" s="31"/>
    </row>
    <row r="1514" spans="1:15" ht="15" customHeight="1">
      <c r="A1514" s="31"/>
      <c r="B1514" s="31"/>
      <c r="C1514" s="32"/>
      <c r="D1514" s="31"/>
      <c r="E1514" s="31"/>
      <c r="F1514" s="31"/>
      <c r="G1514" s="31"/>
      <c r="H1514" s="31"/>
      <c r="I1514" s="31"/>
      <c r="J1514" s="31"/>
      <c r="K1514" s="31"/>
      <c r="L1514" s="31"/>
      <c r="M1514" s="31"/>
      <c r="N1514" s="33"/>
      <c r="O1514" s="31"/>
    </row>
    <row r="1515" spans="1:15" ht="15" customHeight="1">
      <c r="A1515" s="31"/>
      <c r="B1515" s="31"/>
      <c r="C1515" s="32"/>
      <c r="D1515" s="31"/>
      <c r="E1515" s="31"/>
      <c r="F1515" s="31"/>
      <c r="G1515" s="31"/>
      <c r="H1515" s="31"/>
      <c r="I1515" s="31"/>
      <c r="J1515" s="31"/>
      <c r="K1515" s="31"/>
      <c r="L1515" s="31"/>
      <c r="M1515" s="31"/>
      <c r="N1515" s="33"/>
      <c r="O1515" s="31"/>
    </row>
    <row r="1516" spans="1:15" ht="15" customHeight="1">
      <c r="A1516" s="31"/>
      <c r="B1516" s="31"/>
      <c r="C1516" s="32"/>
      <c r="D1516" s="31"/>
      <c r="E1516" s="31"/>
      <c r="F1516" s="31"/>
      <c r="G1516" s="31"/>
      <c r="H1516" s="31"/>
      <c r="I1516" s="31"/>
      <c r="J1516" s="31"/>
      <c r="K1516" s="31"/>
      <c r="L1516" s="31"/>
      <c r="M1516" s="31"/>
      <c r="N1516" s="33"/>
      <c r="O1516" s="31"/>
    </row>
    <row r="1517" spans="1:15" ht="15" customHeight="1">
      <c r="A1517" s="31"/>
      <c r="B1517" s="31"/>
      <c r="C1517" s="32"/>
      <c r="D1517" s="31"/>
      <c r="E1517" s="31"/>
      <c r="F1517" s="31"/>
      <c r="G1517" s="31"/>
      <c r="H1517" s="31"/>
      <c r="I1517" s="31"/>
      <c r="J1517" s="31"/>
      <c r="K1517" s="31"/>
      <c r="L1517" s="31"/>
      <c r="M1517" s="31"/>
      <c r="N1517" s="33"/>
      <c r="O1517" s="31"/>
    </row>
    <row r="1518" spans="1:15" ht="15" customHeight="1">
      <c r="A1518" s="31"/>
      <c r="B1518" s="31"/>
      <c r="C1518" s="32"/>
      <c r="D1518" s="31"/>
      <c r="E1518" s="31"/>
      <c r="F1518" s="31"/>
      <c r="G1518" s="31"/>
      <c r="H1518" s="31"/>
      <c r="I1518" s="31"/>
      <c r="J1518" s="31"/>
      <c r="K1518" s="31"/>
      <c r="L1518" s="31"/>
      <c r="M1518" s="31"/>
      <c r="N1518" s="33"/>
      <c r="O1518" s="31"/>
    </row>
    <row r="1519" spans="1:15" ht="15" customHeight="1">
      <c r="A1519" s="31"/>
      <c r="B1519" s="31"/>
      <c r="C1519" s="32"/>
      <c r="D1519" s="31"/>
      <c r="E1519" s="31"/>
      <c r="F1519" s="31"/>
      <c r="G1519" s="31"/>
      <c r="H1519" s="31"/>
      <c r="I1519" s="31"/>
      <c r="J1519" s="31"/>
      <c r="K1519" s="31"/>
      <c r="L1519" s="31"/>
      <c r="M1519" s="31"/>
      <c r="N1519" s="33"/>
      <c r="O1519" s="31"/>
    </row>
    <row r="1520" spans="1:15" ht="15" customHeight="1">
      <c r="A1520" s="31"/>
      <c r="B1520" s="31"/>
      <c r="C1520" s="32"/>
      <c r="D1520" s="31"/>
      <c r="E1520" s="31"/>
      <c r="F1520" s="31"/>
      <c r="G1520" s="31"/>
      <c r="H1520" s="31"/>
      <c r="I1520" s="31"/>
      <c r="J1520" s="31"/>
      <c r="K1520" s="31"/>
      <c r="L1520" s="31"/>
      <c r="M1520" s="31"/>
      <c r="N1520" s="33"/>
      <c r="O1520" s="31"/>
    </row>
    <row r="1521" spans="1:15" ht="15" customHeight="1">
      <c r="A1521" s="31"/>
      <c r="B1521" s="31"/>
      <c r="C1521" s="32"/>
      <c r="D1521" s="31"/>
      <c r="E1521" s="31"/>
      <c r="F1521" s="31"/>
      <c r="G1521" s="31"/>
      <c r="H1521" s="31"/>
      <c r="I1521" s="31"/>
      <c r="J1521" s="31"/>
      <c r="K1521" s="31"/>
      <c r="L1521" s="31"/>
      <c r="M1521" s="31"/>
      <c r="N1521" s="33"/>
      <c r="O1521" s="31"/>
    </row>
    <row r="1522" spans="1:15" ht="15" customHeight="1">
      <c r="A1522" s="31"/>
      <c r="B1522" s="31"/>
      <c r="C1522" s="32"/>
      <c r="D1522" s="31"/>
      <c r="E1522" s="31"/>
      <c r="F1522" s="31"/>
      <c r="G1522" s="31"/>
      <c r="H1522" s="31"/>
      <c r="I1522" s="31"/>
      <c r="J1522" s="31"/>
      <c r="K1522" s="31"/>
      <c r="L1522" s="31"/>
      <c r="M1522" s="31"/>
      <c r="N1522" s="33"/>
      <c r="O1522" s="31"/>
    </row>
    <row r="1523" spans="1:15" ht="15" customHeight="1">
      <c r="A1523" s="31"/>
      <c r="B1523" s="31"/>
      <c r="C1523" s="32"/>
      <c r="D1523" s="31"/>
      <c r="E1523" s="31"/>
      <c r="F1523" s="31"/>
      <c r="G1523" s="31"/>
      <c r="H1523" s="31"/>
      <c r="I1523" s="31"/>
      <c r="J1523" s="31"/>
      <c r="K1523" s="31"/>
      <c r="L1523" s="31"/>
      <c r="M1523" s="31"/>
      <c r="N1523" s="33"/>
      <c r="O1523" s="31"/>
    </row>
    <row r="1524" spans="1:15" ht="15" customHeight="1">
      <c r="A1524" s="31"/>
      <c r="B1524" s="31"/>
      <c r="C1524" s="32"/>
      <c r="D1524" s="31"/>
      <c r="E1524" s="31"/>
      <c r="F1524" s="31"/>
      <c r="G1524" s="31"/>
      <c r="H1524" s="31"/>
      <c r="I1524" s="31"/>
      <c r="J1524" s="31"/>
      <c r="K1524" s="31"/>
      <c r="L1524" s="31"/>
      <c r="M1524" s="31"/>
      <c r="N1524" s="33"/>
      <c r="O1524" s="31"/>
    </row>
    <row r="1525" spans="1:15" ht="15" customHeight="1">
      <c r="A1525" s="31"/>
      <c r="B1525" s="31"/>
      <c r="C1525" s="32"/>
      <c r="D1525" s="31"/>
      <c r="E1525" s="31"/>
      <c r="F1525" s="31"/>
      <c r="G1525" s="31"/>
      <c r="H1525" s="31"/>
      <c r="I1525" s="31"/>
      <c r="J1525" s="31"/>
      <c r="K1525" s="31"/>
      <c r="L1525" s="31"/>
      <c r="M1525" s="31"/>
      <c r="N1525" s="33"/>
      <c r="O1525" s="31"/>
    </row>
    <row r="1526" spans="1:15" ht="15" customHeight="1">
      <c r="A1526" s="31"/>
      <c r="B1526" s="31"/>
      <c r="C1526" s="32"/>
      <c r="D1526" s="31"/>
      <c r="E1526" s="31"/>
      <c r="F1526" s="31"/>
      <c r="G1526" s="31"/>
      <c r="H1526" s="31"/>
      <c r="I1526" s="31"/>
      <c r="J1526" s="31"/>
      <c r="K1526" s="31"/>
      <c r="L1526" s="31"/>
      <c r="M1526" s="31"/>
      <c r="N1526" s="33"/>
      <c r="O1526" s="31"/>
    </row>
    <row r="1527" spans="1:15" ht="15" customHeight="1">
      <c r="A1527" s="31"/>
      <c r="B1527" s="31"/>
      <c r="C1527" s="32"/>
      <c r="D1527" s="31"/>
      <c r="E1527" s="31"/>
      <c r="F1527" s="31"/>
      <c r="G1527" s="31"/>
      <c r="H1527" s="31"/>
      <c r="I1527" s="31"/>
      <c r="J1527" s="31"/>
      <c r="K1527" s="31"/>
      <c r="L1527" s="31"/>
      <c r="M1527" s="31"/>
      <c r="N1527" s="33"/>
      <c r="O1527" s="31"/>
    </row>
    <row r="1528" spans="1:15" ht="15" customHeight="1">
      <c r="A1528" s="31"/>
      <c r="B1528" s="31"/>
      <c r="C1528" s="32"/>
      <c r="D1528" s="31"/>
      <c r="E1528" s="31"/>
      <c r="F1528" s="31"/>
      <c r="G1528" s="31"/>
      <c r="H1528" s="31"/>
      <c r="I1528" s="31"/>
      <c r="J1528" s="31"/>
      <c r="K1528" s="31"/>
      <c r="L1528" s="31"/>
      <c r="M1528" s="31"/>
      <c r="N1528" s="33"/>
      <c r="O1528" s="31"/>
    </row>
    <row r="1529" spans="1:15" ht="15" customHeight="1">
      <c r="A1529" s="31"/>
      <c r="B1529" s="31"/>
      <c r="C1529" s="32"/>
      <c r="D1529" s="31"/>
      <c r="E1529" s="31"/>
      <c r="F1529" s="31"/>
      <c r="G1529" s="31"/>
      <c r="H1529" s="31"/>
      <c r="I1529" s="31"/>
      <c r="J1529" s="31"/>
      <c r="K1529" s="31"/>
      <c r="L1529" s="31"/>
      <c r="M1529" s="31"/>
      <c r="N1529" s="33"/>
      <c r="O1529" s="31"/>
    </row>
    <row r="1530" spans="1:15" ht="15" customHeight="1">
      <c r="A1530" s="31"/>
      <c r="B1530" s="31"/>
      <c r="C1530" s="32"/>
      <c r="D1530" s="31"/>
      <c r="E1530" s="31"/>
      <c r="F1530" s="31"/>
      <c r="G1530" s="31"/>
      <c r="H1530" s="31"/>
      <c r="I1530" s="31"/>
      <c r="J1530" s="31"/>
      <c r="K1530" s="31"/>
      <c r="L1530" s="31"/>
      <c r="M1530" s="31"/>
      <c r="N1530" s="33"/>
      <c r="O1530" s="31"/>
    </row>
    <row r="1531" spans="1:15" ht="15" customHeight="1">
      <c r="A1531" s="31"/>
      <c r="B1531" s="31"/>
      <c r="C1531" s="32"/>
      <c r="D1531" s="31"/>
      <c r="E1531" s="31"/>
      <c r="F1531" s="31"/>
      <c r="G1531" s="31"/>
      <c r="H1531" s="31"/>
      <c r="I1531" s="31"/>
      <c r="J1531" s="31"/>
      <c r="K1531" s="31"/>
      <c r="L1531" s="31"/>
      <c r="M1531" s="31"/>
      <c r="N1531" s="33"/>
      <c r="O1531" s="31"/>
    </row>
    <row r="1532" spans="1:15" ht="15" customHeight="1">
      <c r="A1532" s="31"/>
      <c r="B1532" s="31"/>
      <c r="C1532" s="32"/>
      <c r="D1532" s="31"/>
      <c r="E1532" s="31"/>
      <c r="F1532" s="31"/>
      <c r="G1532" s="31"/>
      <c r="H1532" s="31"/>
      <c r="I1532" s="31"/>
      <c r="J1532" s="31"/>
      <c r="K1532" s="31"/>
      <c r="L1532" s="31"/>
      <c r="M1532" s="31"/>
      <c r="N1532" s="33"/>
      <c r="O1532" s="31"/>
    </row>
    <row r="1533" spans="1:15" ht="15" customHeight="1">
      <c r="A1533" s="31"/>
      <c r="B1533" s="31"/>
      <c r="C1533" s="32"/>
      <c r="D1533" s="31"/>
      <c r="E1533" s="31"/>
      <c r="F1533" s="31"/>
      <c r="G1533" s="31"/>
      <c r="H1533" s="31"/>
      <c r="I1533" s="31"/>
      <c r="J1533" s="31"/>
      <c r="K1533" s="31"/>
      <c r="L1533" s="31"/>
      <c r="M1533" s="31"/>
      <c r="N1533" s="33"/>
      <c r="O1533" s="31"/>
    </row>
    <row r="1534" spans="1:15" ht="15" customHeight="1">
      <c r="A1534" s="31"/>
      <c r="B1534" s="31"/>
      <c r="C1534" s="32"/>
      <c r="D1534" s="31"/>
      <c r="E1534" s="31"/>
      <c r="F1534" s="31"/>
      <c r="G1534" s="31"/>
      <c r="H1534" s="31"/>
      <c r="I1534" s="31"/>
      <c r="J1534" s="31"/>
      <c r="K1534" s="31"/>
      <c r="L1534" s="31"/>
      <c r="M1534" s="31"/>
      <c r="N1534" s="33"/>
      <c r="O1534" s="31"/>
    </row>
    <row r="1535" spans="1:15" ht="15" customHeight="1">
      <c r="A1535" s="31"/>
      <c r="B1535" s="31"/>
      <c r="C1535" s="32"/>
      <c r="D1535" s="31"/>
      <c r="E1535" s="31"/>
      <c r="F1535" s="31"/>
      <c r="G1535" s="31"/>
      <c r="H1535" s="31"/>
      <c r="I1535" s="31"/>
      <c r="J1535" s="31"/>
      <c r="K1535" s="31"/>
      <c r="L1535" s="31"/>
      <c r="M1535" s="31"/>
      <c r="N1535" s="33"/>
      <c r="O1535" s="31"/>
    </row>
    <row r="1536" spans="1:15" ht="15" customHeight="1">
      <c r="A1536" s="31"/>
      <c r="B1536" s="31"/>
      <c r="C1536" s="32"/>
      <c r="D1536" s="31"/>
      <c r="E1536" s="31"/>
      <c r="F1536" s="31"/>
      <c r="G1536" s="31"/>
      <c r="H1536" s="31"/>
      <c r="I1536" s="31"/>
      <c r="J1536" s="31"/>
      <c r="K1536" s="31"/>
      <c r="L1536" s="31"/>
      <c r="M1536" s="31"/>
      <c r="N1536" s="33"/>
      <c r="O1536" s="31"/>
    </row>
    <row r="1537" spans="1:15" ht="15" customHeight="1">
      <c r="A1537" s="31"/>
      <c r="B1537" s="31"/>
      <c r="C1537" s="32"/>
      <c r="D1537" s="31"/>
      <c r="E1537" s="31"/>
      <c r="F1537" s="31"/>
      <c r="G1537" s="31"/>
      <c r="H1537" s="31"/>
      <c r="I1537" s="31"/>
      <c r="J1537" s="31"/>
      <c r="K1537" s="31"/>
      <c r="L1537" s="31"/>
      <c r="M1537" s="31"/>
      <c r="N1537" s="33"/>
      <c r="O1537" s="31"/>
    </row>
    <row r="1538" spans="1:15" ht="15" customHeight="1">
      <c r="A1538" s="31"/>
      <c r="B1538" s="31"/>
      <c r="C1538" s="32"/>
      <c r="D1538" s="31"/>
      <c r="E1538" s="31"/>
      <c r="F1538" s="31"/>
      <c r="G1538" s="31"/>
      <c r="H1538" s="31"/>
      <c r="I1538" s="31"/>
      <c r="J1538" s="31"/>
      <c r="K1538" s="31"/>
      <c r="L1538" s="31"/>
      <c r="M1538" s="31"/>
      <c r="N1538" s="33"/>
      <c r="O1538" s="31"/>
    </row>
    <row r="1539" spans="1:15" ht="15" customHeight="1">
      <c r="A1539" s="31"/>
      <c r="B1539" s="31"/>
      <c r="C1539" s="32"/>
      <c r="D1539" s="31"/>
      <c r="E1539" s="31"/>
      <c r="F1539" s="31"/>
      <c r="G1539" s="31"/>
      <c r="H1539" s="31"/>
      <c r="I1539" s="31"/>
      <c r="J1539" s="31"/>
      <c r="K1539" s="31"/>
      <c r="L1539" s="31"/>
      <c r="M1539" s="31"/>
      <c r="N1539" s="33"/>
      <c r="O1539" s="31"/>
    </row>
    <row r="1540" spans="1:15" ht="15" customHeight="1">
      <c r="A1540" s="31"/>
      <c r="B1540" s="31"/>
      <c r="C1540" s="32"/>
      <c r="D1540" s="31"/>
      <c r="E1540" s="31"/>
      <c r="F1540" s="31"/>
      <c r="G1540" s="31"/>
      <c r="H1540" s="31"/>
      <c r="I1540" s="31"/>
      <c r="J1540" s="31"/>
      <c r="K1540" s="31"/>
      <c r="L1540" s="31"/>
      <c r="M1540" s="31"/>
      <c r="N1540" s="33"/>
      <c r="O1540" s="31"/>
    </row>
    <row r="1541" spans="1:15" ht="15" customHeight="1">
      <c r="A1541" s="31"/>
      <c r="B1541" s="31"/>
      <c r="C1541" s="32"/>
      <c r="D1541" s="31"/>
      <c r="E1541" s="31"/>
      <c r="F1541" s="31"/>
      <c r="G1541" s="31"/>
      <c r="H1541" s="31"/>
      <c r="I1541" s="31"/>
      <c r="J1541" s="31"/>
      <c r="K1541" s="31"/>
      <c r="L1541" s="31"/>
      <c r="M1541" s="31"/>
      <c r="N1541" s="33"/>
      <c r="O1541" s="31"/>
    </row>
    <row r="1542" spans="1:15" ht="15" customHeight="1">
      <c r="A1542" s="31"/>
      <c r="B1542" s="31"/>
      <c r="C1542" s="32"/>
      <c r="D1542" s="31"/>
      <c r="E1542" s="31"/>
      <c r="F1542" s="31"/>
      <c r="G1542" s="31"/>
      <c r="H1542" s="31"/>
      <c r="I1542" s="31"/>
      <c r="J1542" s="31"/>
      <c r="K1542" s="31"/>
      <c r="L1542" s="31"/>
      <c r="M1542" s="31"/>
      <c r="N1542" s="33"/>
      <c r="O1542" s="31"/>
    </row>
    <row r="1543" spans="1:15" ht="15" customHeight="1">
      <c r="A1543" s="31"/>
      <c r="B1543" s="31"/>
      <c r="C1543" s="32"/>
      <c r="D1543" s="31"/>
      <c r="E1543" s="31"/>
      <c r="F1543" s="31"/>
      <c r="G1543" s="31"/>
      <c r="H1543" s="31"/>
      <c r="I1543" s="31"/>
      <c r="J1543" s="31"/>
      <c r="K1543" s="31"/>
      <c r="L1543" s="31"/>
      <c r="M1543" s="31"/>
      <c r="N1543" s="33"/>
      <c r="O1543" s="31"/>
    </row>
    <row r="1544" spans="1:15" ht="15" customHeight="1">
      <c r="A1544" s="31"/>
      <c r="B1544" s="31"/>
      <c r="C1544" s="32"/>
      <c r="D1544" s="31"/>
      <c r="E1544" s="31"/>
      <c r="F1544" s="31"/>
      <c r="G1544" s="31"/>
      <c r="H1544" s="31"/>
      <c r="I1544" s="31"/>
      <c r="J1544" s="31"/>
      <c r="K1544" s="31"/>
      <c r="L1544" s="31"/>
      <c r="M1544" s="31"/>
      <c r="N1544" s="33"/>
      <c r="O1544" s="31"/>
    </row>
    <row r="1545" spans="1:15" ht="15" customHeight="1">
      <c r="A1545" s="31"/>
      <c r="B1545" s="31"/>
      <c r="C1545" s="32"/>
      <c r="D1545" s="31"/>
      <c r="E1545" s="31"/>
      <c r="F1545" s="31"/>
      <c r="G1545" s="31"/>
      <c r="H1545" s="31"/>
      <c r="I1545" s="31"/>
      <c r="J1545" s="31"/>
      <c r="K1545" s="31"/>
      <c r="L1545" s="31"/>
      <c r="M1545" s="31"/>
      <c r="N1545" s="33"/>
      <c r="O1545" s="31"/>
    </row>
    <row r="1546" spans="1:15" ht="15" customHeight="1">
      <c r="A1546" s="31"/>
      <c r="B1546" s="31"/>
      <c r="C1546" s="32"/>
      <c r="D1546" s="31"/>
      <c r="E1546" s="31"/>
      <c r="F1546" s="31"/>
      <c r="G1546" s="31"/>
      <c r="H1546" s="31"/>
      <c r="I1546" s="31"/>
      <c r="J1546" s="31"/>
      <c r="K1546" s="31"/>
      <c r="L1546" s="31"/>
      <c r="M1546" s="31"/>
      <c r="N1546" s="33"/>
      <c r="O1546" s="31"/>
    </row>
    <row r="1547" spans="1:15" ht="15" customHeight="1">
      <c r="A1547" s="31"/>
      <c r="B1547" s="31"/>
      <c r="C1547" s="32"/>
      <c r="D1547" s="31"/>
      <c r="E1547" s="31"/>
      <c r="F1547" s="31"/>
      <c r="G1547" s="31"/>
      <c r="H1547" s="31"/>
      <c r="I1547" s="31"/>
      <c r="J1547" s="31"/>
      <c r="K1547" s="31"/>
      <c r="L1547" s="31"/>
      <c r="M1547" s="31"/>
      <c r="N1547" s="33"/>
      <c r="O1547" s="31"/>
    </row>
    <row r="1548" spans="1:15" ht="15" customHeight="1">
      <c r="A1548" s="31"/>
      <c r="B1548" s="31"/>
      <c r="C1548" s="32"/>
      <c r="D1548" s="31"/>
      <c r="E1548" s="31"/>
      <c r="F1548" s="31"/>
      <c r="G1548" s="31"/>
      <c r="H1548" s="31"/>
      <c r="I1548" s="31"/>
      <c r="J1548" s="31"/>
      <c r="K1548" s="31"/>
      <c r="L1548" s="31"/>
      <c r="M1548" s="31"/>
      <c r="N1548" s="33"/>
      <c r="O1548" s="31"/>
    </row>
    <row r="1549" spans="1:15" ht="15" customHeight="1">
      <c r="A1549" s="31"/>
      <c r="B1549" s="31"/>
      <c r="C1549" s="32"/>
      <c r="D1549" s="31"/>
      <c r="E1549" s="31"/>
      <c r="F1549" s="31"/>
      <c r="G1549" s="31"/>
      <c r="H1549" s="31"/>
      <c r="I1549" s="31"/>
      <c r="J1549" s="31"/>
      <c r="K1549" s="31"/>
      <c r="L1549" s="31"/>
      <c r="M1549" s="31"/>
      <c r="N1549" s="33"/>
      <c r="O1549" s="31"/>
    </row>
    <row r="1550" spans="1:15" ht="15" customHeight="1">
      <c r="A1550" s="31"/>
      <c r="B1550" s="31"/>
      <c r="C1550" s="32"/>
      <c r="D1550" s="31"/>
      <c r="E1550" s="31"/>
      <c r="F1550" s="31"/>
      <c r="G1550" s="31"/>
      <c r="H1550" s="31"/>
      <c r="I1550" s="31"/>
      <c r="J1550" s="31"/>
      <c r="K1550" s="31"/>
      <c r="L1550" s="31"/>
      <c r="M1550" s="31"/>
      <c r="N1550" s="33"/>
      <c r="O1550" s="31"/>
    </row>
    <row r="1551" spans="1:15" ht="15" customHeight="1">
      <c r="A1551" s="31"/>
      <c r="B1551" s="31"/>
      <c r="C1551" s="32"/>
      <c r="D1551" s="31"/>
      <c r="E1551" s="31"/>
      <c r="F1551" s="31"/>
      <c r="G1551" s="31"/>
      <c r="H1551" s="31"/>
      <c r="I1551" s="31"/>
      <c r="J1551" s="31"/>
      <c r="K1551" s="31"/>
      <c r="L1551" s="31"/>
      <c r="M1551" s="31"/>
      <c r="N1551" s="33"/>
      <c r="O1551" s="31"/>
    </row>
    <row r="1552" spans="1:15" ht="15" customHeight="1">
      <c r="A1552" s="31"/>
      <c r="B1552" s="31"/>
      <c r="C1552" s="32"/>
      <c r="D1552" s="31"/>
      <c r="E1552" s="31"/>
      <c r="F1552" s="31"/>
      <c r="G1552" s="31"/>
      <c r="H1552" s="31"/>
      <c r="I1552" s="31"/>
      <c r="J1552" s="31"/>
      <c r="K1552" s="31"/>
      <c r="L1552" s="31"/>
      <c r="M1552" s="31"/>
      <c r="N1552" s="33"/>
      <c r="O1552" s="31"/>
    </row>
    <row r="1553" spans="1:15" ht="15" customHeight="1">
      <c r="A1553" s="31"/>
      <c r="B1553" s="31"/>
      <c r="C1553" s="32"/>
      <c r="D1553" s="31"/>
      <c r="E1553" s="31"/>
      <c r="F1553" s="31"/>
      <c r="G1553" s="31"/>
      <c r="H1553" s="31"/>
      <c r="I1553" s="31"/>
      <c r="J1553" s="31"/>
      <c r="K1553" s="31"/>
      <c r="L1553" s="31"/>
      <c r="M1553" s="31"/>
      <c r="N1553" s="33"/>
      <c r="O1553" s="31"/>
    </row>
    <row r="1554" spans="1:15" ht="15" customHeight="1">
      <c r="A1554" s="31"/>
      <c r="B1554" s="31"/>
      <c r="C1554" s="32"/>
      <c r="D1554" s="31"/>
      <c r="E1554" s="31"/>
      <c r="F1554" s="31"/>
      <c r="G1554" s="31"/>
      <c r="H1554" s="31"/>
      <c r="I1554" s="31"/>
      <c r="J1554" s="31"/>
      <c r="K1554" s="31"/>
      <c r="L1554" s="31"/>
      <c r="M1554" s="31"/>
      <c r="N1554" s="33"/>
      <c r="O1554" s="31"/>
    </row>
    <row r="1555" spans="1:15" ht="15" customHeight="1">
      <c r="A1555" s="31"/>
      <c r="B1555" s="31"/>
      <c r="C1555" s="32"/>
      <c r="D1555" s="31"/>
      <c r="E1555" s="31"/>
      <c r="F1555" s="31"/>
      <c r="G1555" s="31"/>
      <c r="H1555" s="31"/>
      <c r="I1555" s="31"/>
      <c r="J1555" s="31"/>
      <c r="K1555" s="31"/>
      <c r="L1555" s="31"/>
      <c r="M1555" s="31"/>
      <c r="N1555" s="33"/>
      <c r="O1555" s="31"/>
    </row>
    <row r="1556" spans="1:15" ht="15" customHeight="1">
      <c r="A1556" s="31"/>
      <c r="B1556" s="31"/>
      <c r="C1556" s="32"/>
      <c r="D1556" s="31"/>
      <c r="E1556" s="31"/>
      <c r="F1556" s="31"/>
      <c r="G1556" s="31"/>
      <c r="H1556" s="31"/>
      <c r="I1556" s="31"/>
      <c r="J1556" s="31"/>
      <c r="K1556" s="31"/>
      <c r="L1556" s="31"/>
      <c r="M1556" s="31"/>
      <c r="N1556" s="33"/>
      <c r="O1556" s="31"/>
    </row>
    <row r="1557" spans="1:15" ht="15" customHeight="1">
      <c r="A1557" s="31"/>
      <c r="B1557" s="31"/>
      <c r="C1557" s="32"/>
      <c r="D1557" s="31"/>
      <c r="E1557" s="31"/>
      <c r="F1557" s="31"/>
      <c r="G1557" s="31"/>
      <c r="H1557" s="31"/>
      <c r="I1557" s="31"/>
      <c r="J1557" s="31"/>
      <c r="K1557" s="31"/>
      <c r="L1557" s="31"/>
      <c r="M1557" s="31"/>
      <c r="N1557" s="33"/>
      <c r="O1557" s="31"/>
    </row>
    <row r="1558" spans="1:15" ht="15" customHeight="1">
      <c r="A1558" s="31"/>
      <c r="B1558" s="31"/>
      <c r="C1558" s="32"/>
      <c r="D1558" s="31"/>
      <c r="E1558" s="31"/>
      <c r="F1558" s="31"/>
      <c r="G1558" s="31"/>
      <c r="H1558" s="31"/>
      <c r="I1558" s="31"/>
      <c r="J1558" s="31"/>
      <c r="K1558" s="31"/>
      <c r="L1558" s="31"/>
      <c r="M1558" s="31"/>
      <c r="N1558" s="33"/>
      <c r="O1558" s="31"/>
    </row>
    <row r="1559" spans="1:15" ht="15" customHeight="1">
      <c r="A1559" s="31"/>
      <c r="B1559" s="31"/>
      <c r="C1559" s="32"/>
      <c r="D1559" s="31"/>
      <c r="E1559" s="31"/>
      <c r="F1559" s="31"/>
      <c r="G1559" s="31"/>
      <c r="H1559" s="31"/>
      <c r="I1559" s="31"/>
      <c r="J1559" s="31"/>
      <c r="K1559" s="31"/>
      <c r="L1559" s="31"/>
      <c r="M1559" s="31"/>
      <c r="N1559" s="33"/>
      <c r="O1559" s="31"/>
    </row>
    <row r="1560" spans="1:15" ht="15" customHeight="1">
      <c r="A1560" s="31"/>
      <c r="B1560" s="31"/>
      <c r="C1560" s="32"/>
      <c r="D1560" s="31"/>
      <c r="E1560" s="31"/>
      <c r="F1560" s="31"/>
      <c r="G1560" s="31"/>
      <c r="H1560" s="31"/>
      <c r="I1560" s="31"/>
      <c r="J1560" s="31"/>
      <c r="K1560" s="31"/>
      <c r="L1560" s="31"/>
      <c r="M1560" s="31"/>
      <c r="N1560" s="33"/>
      <c r="O1560" s="31"/>
    </row>
    <row r="1561" spans="1:15" ht="15" customHeight="1">
      <c r="A1561" s="31"/>
      <c r="B1561" s="31"/>
      <c r="C1561" s="32"/>
      <c r="D1561" s="31"/>
      <c r="E1561" s="31"/>
      <c r="F1561" s="31"/>
      <c r="G1561" s="31"/>
      <c r="H1561" s="31"/>
      <c r="I1561" s="31"/>
      <c r="J1561" s="31"/>
      <c r="K1561" s="31"/>
      <c r="L1561" s="31"/>
      <c r="M1561" s="31"/>
      <c r="N1561" s="33"/>
      <c r="O1561" s="31"/>
    </row>
    <row r="1562" spans="1:15" ht="15" customHeight="1">
      <c r="A1562" s="31"/>
      <c r="B1562" s="31"/>
      <c r="C1562" s="32"/>
      <c r="D1562" s="31"/>
      <c r="E1562" s="31"/>
      <c r="F1562" s="31"/>
      <c r="G1562" s="31"/>
      <c r="H1562" s="31"/>
      <c r="I1562" s="31"/>
      <c r="J1562" s="31"/>
      <c r="K1562" s="31"/>
      <c r="L1562" s="31"/>
      <c r="M1562" s="31"/>
      <c r="N1562" s="33"/>
      <c r="O1562" s="31"/>
    </row>
    <row r="1563" spans="1:15" ht="15" customHeight="1">
      <c r="A1563" s="31"/>
      <c r="B1563" s="31"/>
      <c r="C1563" s="32"/>
      <c r="D1563" s="31"/>
      <c r="E1563" s="31"/>
      <c r="F1563" s="31"/>
      <c r="G1563" s="31"/>
      <c r="H1563" s="31"/>
      <c r="I1563" s="31"/>
      <c r="J1563" s="31"/>
      <c r="K1563" s="31"/>
      <c r="L1563" s="31"/>
      <c r="M1563" s="31"/>
      <c r="N1563" s="33"/>
      <c r="O1563" s="31"/>
    </row>
    <row r="1564" spans="1:15" ht="15" customHeight="1">
      <c r="A1564" s="31"/>
      <c r="B1564" s="31"/>
      <c r="C1564" s="32"/>
      <c r="D1564" s="31"/>
      <c r="E1564" s="31"/>
      <c r="F1564" s="31"/>
      <c r="G1564" s="31"/>
      <c r="H1564" s="31"/>
      <c r="I1564" s="31"/>
      <c r="J1564" s="31"/>
      <c r="K1564" s="31"/>
      <c r="L1564" s="31"/>
      <c r="M1564" s="31"/>
      <c r="N1564" s="33"/>
      <c r="O1564" s="31"/>
    </row>
    <row r="1565" spans="1:15" ht="15" customHeight="1">
      <c r="A1565" s="31"/>
      <c r="B1565" s="31"/>
      <c r="C1565" s="32"/>
      <c r="D1565" s="31"/>
      <c r="E1565" s="31"/>
      <c r="F1565" s="31"/>
      <c r="G1565" s="31"/>
      <c r="H1565" s="31"/>
      <c r="I1565" s="31"/>
      <c r="J1565" s="31"/>
      <c r="K1565" s="31"/>
      <c r="L1565" s="31"/>
      <c r="M1565" s="31"/>
      <c r="N1565" s="33"/>
      <c r="O1565" s="31"/>
    </row>
    <row r="1566" spans="1:15" ht="15" customHeight="1">
      <c r="A1566" s="31"/>
      <c r="B1566" s="31"/>
      <c r="C1566" s="32"/>
      <c r="D1566" s="31"/>
      <c r="E1566" s="31"/>
      <c r="F1566" s="31"/>
      <c r="G1566" s="31"/>
      <c r="H1566" s="31"/>
      <c r="I1566" s="31"/>
      <c r="J1566" s="31"/>
      <c r="K1566" s="31"/>
      <c r="L1566" s="31"/>
      <c r="M1566" s="31"/>
      <c r="N1566" s="33"/>
      <c r="O1566" s="31"/>
    </row>
    <row r="1567" spans="1:15" ht="15" customHeight="1">
      <c r="A1567" s="31"/>
      <c r="B1567" s="31"/>
      <c r="C1567" s="32"/>
      <c r="D1567" s="31"/>
      <c r="E1567" s="31"/>
      <c r="F1567" s="31"/>
      <c r="G1567" s="31"/>
      <c r="H1567" s="31"/>
      <c r="I1567" s="31"/>
      <c r="J1567" s="31"/>
      <c r="K1567" s="31"/>
      <c r="L1567" s="31"/>
      <c r="M1567" s="31"/>
      <c r="N1567" s="33"/>
      <c r="O1567" s="31"/>
    </row>
    <row r="1568" spans="1:15" ht="15" customHeight="1">
      <c r="A1568" s="31"/>
      <c r="B1568" s="31"/>
      <c r="C1568" s="32"/>
      <c r="D1568" s="31"/>
      <c r="E1568" s="31"/>
      <c r="F1568" s="31"/>
      <c r="G1568" s="31"/>
      <c r="H1568" s="31"/>
      <c r="I1568" s="31"/>
      <c r="J1568" s="31"/>
      <c r="K1568" s="31"/>
      <c r="L1568" s="31"/>
      <c r="M1568" s="31"/>
      <c r="N1568" s="33"/>
      <c r="O1568" s="31"/>
    </row>
    <row r="1569" spans="1:15" ht="15" customHeight="1">
      <c r="A1569" s="31"/>
      <c r="B1569" s="31"/>
      <c r="C1569" s="32"/>
      <c r="D1569" s="31"/>
      <c r="E1569" s="31"/>
      <c r="F1569" s="31"/>
      <c r="G1569" s="31"/>
      <c r="H1569" s="31"/>
      <c r="I1569" s="31"/>
      <c r="J1569" s="31"/>
      <c r="K1569" s="31"/>
      <c r="L1569" s="31"/>
      <c r="M1569" s="31"/>
      <c r="N1569" s="33"/>
      <c r="O1569" s="31"/>
    </row>
    <row r="1570" spans="1:15" ht="15" customHeight="1">
      <c r="A1570" s="31"/>
      <c r="B1570" s="31"/>
      <c r="C1570" s="32"/>
      <c r="D1570" s="31"/>
      <c r="E1570" s="31"/>
      <c r="F1570" s="31"/>
      <c r="G1570" s="31"/>
      <c r="H1570" s="31"/>
      <c r="I1570" s="31"/>
      <c r="J1570" s="31"/>
      <c r="K1570" s="31"/>
      <c r="L1570" s="31"/>
      <c r="M1570" s="31"/>
      <c r="N1570" s="33"/>
      <c r="O1570" s="31"/>
    </row>
    <row r="1571" spans="1:15" ht="15" customHeight="1">
      <c r="A1571" s="31"/>
      <c r="B1571" s="31"/>
      <c r="C1571" s="32"/>
      <c r="D1571" s="31"/>
      <c r="E1571" s="31"/>
      <c r="F1571" s="31"/>
      <c r="G1571" s="31"/>
      <c r="H1571" s="31"/>
      <c r="I1571" s="31"/>
      <c r="J1571" s="31"/>
      <c r="K1571" s="31"/>
      <c r="L1571" s="31"/>
      <c r="M1571" s="31"/>
      <c r="N1571" s="33"/>
      <c r="O1571" s="31"/>
    </row>
    <row r="1572" spans="1:15" ht="15" customHeight="1">
      <c r="A1572" s="31"/>
      <c r="B1572" s="31"/>
      <c r="C1572" s="32"/>
      <c r="D1572" s="31"/>
      <c r="E1572" s="31"/>
      <c r="F1572" s="31"/>
      <c r="G1572" s="31"/>
      <c r="H1572" s="31"/>
      <c r="I1572" s="31"/>
      <c r="J1572" s="31"/>
      <c r="K1572" s="31"/>
      <c r="L1572" s="31"/>
      <c r="M1572" s="31"/>
      <c r="N1572" s="33"/>
      <c r="O1572" s="31"/>
    </row>
    <row r="1573" spans="1:15" ht="15" customHeight="1">
      <c r="A1573" s="31"/>
      <c r="B1573" s="31"/>
      <c r="C1573" s="32"/>
      <c r="D1573" s="31"/>
      <c r="E1573" s="31"/>
      <c r="F1573" s="31"/>
      <c r="G1573" s="31"/>
      <c r="H1573" s="31"/>
      <c r="I1573" s="31"/>
      <c r="J1573" s="31"/>
      <c r="K1573" s="31"/>
      <c r="L1573" s="31"/>
      <c r="M1573" s="31"/>
      <c r="N1573" s="33"/>
      <c r="O1573" s="31"/>
    </row>
    <row r="1574" spans="1:15" ht="15" customHeight="1">
      <c r="A1574" s="31"/>
      <c r="B1574" s="31"/>
      <c r="C1574" s="32"/>
      <c r="D1574" s="31"/>
      <c r="E1574" s="31"/>
      <c r="F1574" s="31"/>
      <c r="G1574" s="31"/>
      <c r="H1574" s="31"/>
      <c r="I1574" s="31"/>
      <c r="J1574" s="31"/>
      <c r="K1574" s="31"/>
      <c r="L1574" s="31"/>
      <c r="M1574" s="31"/>
      <c r="N1574" s="33"/>
      <c r="O1574" s="31"/>
    </row>
    <row r="1575" spans="1:15" ht="15" customHeight="1">
      <c r="A1575" s="31"/>
      <c r="B1575" s="31"/>
      <c r="C1575" s="32"/>
      <c r="D1575" s="31"/>
      <c r="E1575" s="31"/>
      <c r="F1575" s="31"/>
      <c r="G1575" s="31"/>
      <c r="H1575" s="31"/>
      <c r="I1575" s="31"/>
      <c r="J1575" s="31"/>
      <c r="K1575" s="31"/>
      <c r="L1575" s="31"/>
      <c r="M1575" s="31"/>
      <c r="N1575" s="33"/>
      <c r="O1575" s="31"/>
    </row>
    <row r="1576" spans="1:15" ht="15" customHeight="1">
      <c r="A1576" s="31"/>
      <c r="B1576" s="31"/>
      <c r="C1576" s="32"/>
      <c r="D1576" s="31"/>
      <c r="E1576" s="31"/>
      <c r="F1576" s="31"/>
      <c r="G1576" s="31"/>
      <c r="H1576" s="31"/>
      <c r="I1576" s="31"/>
      <c r="J1576" s="31"/>
      <c r="K1576" s="31"/>
      <c r="L1576" s="31"/>
      <c r="M1576" s="31"/>
      <c r="N1576" s="33"/>
      <c r="O1576" s="31"/>
    </row>
    <row r="1577" spans="1:15" ht="15" customHeight="1">
      <c r="A1577" s="31"/>
      <c r="B1577" s="31"/>
      <c r="C1577" s="32"/>
      <c r="D1577" s="31"/>
      <c r="E1577" s="31"/>
      <c r="F1577" s="31"/>
      <c r="G1577" s="31"/>
      <c r="H1577" s="31"/>
      <c r="I1577" s="31"/>
      <c r="J1577" s="31"/>
      <c r="K1577" s="31"/>
      <c r="L1577" s="31"/>
      <c r="M1577" s="31"/>
      <c r="N1577" s="33"/>
      <c r="O1577" s="31"/>
    </row>
    <row r="1578" spans="1:15" ht="15" customHeight="1">
      <c r="A1578" s="31"/>
      <c r="B1578" s="31"/>
      <c r="C1578" s="32"/>
      <c r="D1578" s="31"/>
      <c r="E1578" s="31"/>
      <c r="F1578" s="31"/>
      <c r="G1578" s="31"/>
      <c r="H1578" s="31"/>
      <c r="I1578" s="31"/>
      <c r="J1578" s="31"/>
      <c r="K1578" s="31"/>
      <c r="L1578" s="31"/>
      <c r="M1578" s="31"/>
      <c r="N1578" s="33"/>
      <c r="O1578" s="31"/>
    </row>
    <row r="1579" spans="1:15" ht="15" customHeight="1">
      <c r="A1579" s="31"/>
      <c r="B1579" s="31"/>
      <c r="C1579" s="32"/>
      <c r="D1579" s="31"/>
      <c r="E1579" s="31"/>
      <c r="F1579" s="31"/>
      <c r="G1579" s="31"/>
      <c r="H1579" s="31"/>
      <c r="I1579" s="31"/>
      <c r="J1579" s="31"/>
      <c r="K1579" s="31"/>
      <c r="L1579" s="31"/>
      <c r="M1579" s="31"/>
      <c r="N1579" s="33"/>
      <c r="O1579" s="31"/>
    </row>
    <row r="1580" spans="1:15" ht="15" customHeight="1">
      <c r="A1580" s="31"/>
      <c r="B1580" s="31"/>
      <c r="C1580" s="32"/>
      <c r="D1580" s="31"/>
      <c r="E1580" s="31"/>
      <c r="F1580" s="31"/>
      <c r="G1580" s="31"/>
      <c r="H1580" s="31"/>
      <c r="I1580" s="31"/>
      <c r="J1580" s="31"/>
      <c r="K1580" s="31"/>
      <c r="L1580" s="31"/>
      <c r="M1580" s="31"/>
      <c r="N1580" s="33"/>
      <c r="O1580" s="31"/>
    </row>
    <row r="1581" spans="1:15" ht="15" customHeight="1">
      <c r="A1581" s="31"/>
      <c r="B1581" s="31"/>
      <c r="C1581" s="32"/>
      <c r="D1581" s="31"/>
      <c r="E1581" s="31"/>
      <c r="F1581" s="31"/>
      <c r="G1581" s="31"/>
      <c r="H1581" s="31"/>
      <c r="I1581" s="31"/>
      <c r="J1581" s="31"/>
      <c r="K1581" s="31"/>
      <c r="L1581" s="31"/>
      <c r="M1581" s="31"/>
      <c r="N1581" s="33"/>
      <c r="O1581" s="31"/>
    </row>
    <row r="1582" spans="1:15" ht="15" customHeight="1">
      <c r="A1582" s="31"/>
      <c r="B1582" s="31"/>
      <c r="C1582" s="32"/>
      <c r="D1582" s="31"/>
      <c r="E1582" s="31"/>
      <c r="F1582" s="31"/>
      <c r="G1582" s="31"/>
      <c r="H1582" s="31"/>
      <c r="I1582" s="31"/>
      <c r="J1582" s="31"/>
      <c r="K1582" s="31"/>
      <c r="L1582" s="31"/>
      <c r="M1582" s="31"/>
      <c r="N1582" s="33"/>
      <c r="O1582" s="31"/>
    </row>
    <row r="1583" spans="1:15" ht="15" customHeight="1">
      <c r="A1583" s="31"/>
      <c r="B1583" s="31"/>
      <c r="C1583" s="32"/>
      <c r="D1583" s="31"/>
      <c r="E1583" s="31"/>
      <c r="F1583" s="31"/>
      <c r="G1583" s="31"/>
      <c r="H1583" s="31"/>
      <c r="I1583" s="31"/>
      <c r="J1583" s="31"/>
      <c r="K1583" s="31"/>
      <c r="L1583" s="31"/>
      <c r="M1583" s="31"/>
      <c r="N1583" s="33"/>
      <c r="O1583" s="31"/>
    </row>
    <row r="1584" spans="1:15" ht="15" customHeight="1">
      <c r="A1584" s="31"/>
      <c r="B1584" s="31"/>
      <c r="C1584" s="32"/>
      <c r="D1584" s="31"/>
      <c r="E1584" s="31"/>
      <c r="F1584" s="31"/>
      <c r="G1584" s="31"/>
      <c r="H1584" s="31"/>
      <c r="I1584" s="31"/>
      <c r="J1584" s="31"/>
      <c r="K1584" s="31"/>
      <c r="L1584" s="31"/>
      <c r="M1584" s="31"/>
      <c r="N1584" s="33"/>
      <c r="O1584" s="31"/>
    </row>
    <row r="1585" spans="1:15" ht="15" customHeight="1">
      <c r="A1585" s="31"/>
      <c r="B1585" s="31"/>
      <c r="C1585" s="32"/>
      <c r="D1585" s="31"/>
      <c r="E1585" s="31"/>
      <c r="F1585" s="31"/>
      <c r="G1585" s="31"/>
      <c r="H1585" s="31"/>
      <c r="I1585" s="31"/>
      <c r="J1585" s="31"/>
      <c r="K1585" s="31"/>
      <c r="L1585" s="31"/>
      <c r="M1585" s="31"/>
      <c r="N1585" s="33"/>
      <c r="O1585" s="31"/>
    </row>
    <row r="1586" spans="1:15" ht="15" customHeight="1">
      <c r="A1586" s="31"/>
      <c r="B1586" s="31"/>
      <c r="C1586" s="32"/>
      <c r="D1586" s="31"/>
      <c r="E1586" s="31"/>
      <c r="F1586" s="31"/>
      <c r="G1586" s="31"/>
      <c r="H1586" s="31"/>
      <c r="I1586" s="31"/>
      <c r="J1586" s="31"/>
      <c r="K1586" s="31"/>
      <c r="L1586" s="31"/>
      <c r="M1586" s="31"/>
      <c r="N1586" s="33"/>
      <c r="O1586" s="31"/>
    </row>
    <row r="1587" spans="1:15" ht="15" customHeight="1">
      <c r="A1587" s="31"/>
      <c r="B1587" s="31"/>
      <c r="C1587" s="32"/>
      <c r="D1587" s="31"/>
      <c r="E1587" s="31"/>
      <c r="F1587" s="31"/>
      <c r="G1587" s="31"/>
      <c r="H1587" s="31"/>
      <c r="I1587" s="31"/>
      <c r="J1587" s="31"/>
      <c r="K1587" s="31"/>
      <c r="L1587" s="31"/>
      <c r="M1587" s="31"/>
      <c r="N1587" s="33"/>
      <c r="O1587" s="31"/>
    </row>
    <row r="1588" spans="1:15" ht="15" customHeight="1">
      <c r="A1588" s="31"/>
      <c r="B1588" s="31"/>
      <c r="C1588" s="32"/>
      <c r="D1588" s="31"/>
      <c r="E1588" s="31"/>
      <c r="F1588" s="31"/>
      <c r="G1588" s="31"/>
      <c r="H1588" s="31"/>
      <c r="I1588" s="31"/>
      <c r="J1588" s="31"/>
      <c r="K1588" s="31"/>
      <c r="L1588" s="31"/>
      <c r="M1588" s="31"/>
      <c r="N1588" s="33"/>
      <c r="O1588" s="31"/>
    </row>
    <row r="1589" spans="1:15" ht="15" customHeight="1">
      <c r="A1589" s="31"/>
      <c r="B1589" s="31"/>
      <c r="C1589" s="32"/>
      <c r="D1589" s="31"/>
      <c r="E1589" s="31"/>
      <c r="F1589" s="31"/>
      <c r="G1589" s="31"/>
      <c r="H1589" s="31"/>
      <c r="I1589" s="31"/>
      <c r="J1589" s="31"/>
      <c r="K1589" s="31"/>
      <c r="L1589" s="31"/>
      <c r="M1589" s="31"/>
      <c r="N1589" s="33"/>
      <c r="O1589" s="31"/>
    </row>
    <row r="1590" spans="1:15" ht="15" customHeight="1">
      <c r="A1590" s="31"/>
      <c r="B1590" s="31"/>
      <c r="C1590" s="32"/>
      <c r="D1590" s="31"/>
      <c r="E1590" s="31"/>
      <c r="F1590" s="31"/>
      <c r="G1590" s="31"/>
      <c r="H1590" s="31"/>
      <c r="I1590" s="31"/>
      <c r="J1590" s="31"/>
      <c r="K1590" s="31"/>
      <c r="L1590" s="31"/>
      <c r="M1590" s="31"/>
      <c r="N1590" s="33"/>
      <c r="O1590" s="31"/>
    </row>
    <row r="1591" spans="1:15" ht="15" customHeight="1">
      <c r="A1591" s="31"/>
      <c r="B1591" s="31"/>
      <c r="C1591" s="32"/>
      <c r="D1591" s="31"/>
      <c r="E1591" s="31"/>
      <c r="F1591" s="31"/>
      <c r="G1591" s="31"/>
      <c r="H1591" s="31"/>
      <c r="I1591" s="31"/>
      <c r="J1591" s="31"/>
      <c r="K1591" s="31"/>
      <c r="L1591" s="31"/>
      <c r="M1591" s="31"/>
      <c r="N1591" s="33"/>
      <c r="O1591" s="31"/>
    </row>
    <row r="1592" spans="1:15" ht="15" customHeight="1">
      <c r="A1592" s="31"/>
      <c r="B1592" s="31"/>
      <c r="C1592" s="32"/>
      <c r="D1592" s="31"/>
      <c r="E1592" s="31"/>
      <c r="F1592" s="31"/>
      <c r="G1592" s="31"/>
      <c r="H1592" s="31"/>
      <c r="I1592" s="31"/>
      <c r="J1592" s="31"/>
      <c r="K1592" s="31"/>
      <c r="L1592" s="31"/>
      <c r="M1592" s="31"/>
      <c r="N1592" s="33"/>
      <c r="O1592" s="31"/>
    </row>
    <row r="1593" spans="1:15" ht="15" customHeight="1">
      <c r="A1593" s="31"/>
      <c r="B1593" s="31"/>
      <c r="C1593" s="32"/>
      <c r="D1593" s="31"/>
      <c r="E1593" s="31"/>
      <c r="F1593" s="31"/>
      <c r="G1593" s="31"/>
      <c r="H1593" s="31"/>
      <c r="I1593" s="31"/>
      <c r="J1593" s="31"/>
      <c r="K1593" s="31"/>
      <c r="L1593" s="31"/>
      <c r="M1593" s="31"/>
      <c r="N1593" s="33"/>
      <c r="O1593" s="31"/>
    </row>
    <row r="1594" spans="1:15" ht="15" customHeight="1">
      <c r="A1594" s="31"/>
      <c r="B1594" s="31"/>
      <c r="C1594" s="32"/>
      <c r="D1594" s="31"/>
      <c r="E1594" s="31"/>
      <c r="F1594" s="31"/>
      <c r="G1594" s="31"/>
      <c r="H1594" s="31"/>
      <c r="I1594" s="31"/>
      <c r="J1594" s="31"/>
      <c r="K1594" s="31"/>
      <c r="L1594" s="31"/>
      <c r="M1594" s="31"/>
      <c r="N1594" s="33"/>
      <c r="O1594" s="31"/>
    </row>
    <row r="1595" spans="1:15" ht="15" customHeight="1">
      <c r="A1595" s="31"/>
      <c r="B1595" s="31"/>
      <c r="C1595" s="32"/>
      <c r="D1595" s="31"/>
      <c r="E1595" s="31"/>
      <c r="F1595" s="31"/>
      <c r="G1595" s="31"/>
      <c r="H1595" s="31"/>
      <c r="I1595" s="31"/>
      <c r="J1595" s="31"/>
      <c r="K1595" s="31"/>
      <c r="L1595" s="31"/>
      <c r="M1595" s="31"/>
      <c r="N1595" s="33"/>
      <c r="O1595" s="31"/>
    </row>
    <row r="1596" spans="1:15" ht="15" customHeight="1">
      <c r="A1596" s="31"/>
      <c r="B1596" s="31"/>
      <c r="C1596" s="32"/>
      <c r="D1596" s="31"/>
      <c r="E1596" s="31"/>
      <c r="F1596" s="31"/>
      <c r="G1596" s="31"/>
      <c r="H1596" s="31"/>
      <c r="I1596" s="31"/>
      <c r="J1596" s="31"/>
      <c r="K1596" s="31"/>
      <c r="L1596" s="31"/>
      <c r="M1596" s="31"/>
      <c r="N1596" s="33"/>
      <c r="O1596" s="31"/>
    </row>
    <row r="1597" spans="1:15" ht="15" customHeight="1">
      <c r="A1597" s="31"/>
      <c r="B1597" s="31"/>
      <c r="C1597" s="32"/>
      <c r="D1597" s="31"/>
      <c r="E1597" s="31"/>
      <c r="F1597" s="31"/>
      <c r="G1597" s="31"/>
      <c r="H1597" s="31"/>
      <c r="I1597" s="31"/>
      <c r="J1597" s="31"/>
      <c r="K1597" s="31"/>
      <c r="L1597" s="31"/>
      <c r="M1597" s="31"/>
      <c r="N1597" s="33"/>
      <c r="O1597" s="31"/>
    </row>
    <row r="1598" spans="1:15" ht="15" customHeight="1">
      <c r="A1598" s="31"/>
      <c r="B1598" s="31"/>
      <c r="C1598" s="32"/>
      <c r="D1598" s="31"/>
      <c r="E1598" s="31"/>
      <c r="F1598" s="31"/>
      <c r="G1598" s="31"/>
      <c r="H1598" s="31"/>
      <c r="I1598" s="31"/>
      <c r="J1598" s="31"/>
      <c r="K1598" s="31"/>
      <c r="L1598" s="31"/>
      <c r="M1598" s="31"/>
      <c r="N1598" s="33"/>
      <c r="O1598" s="31"/>
    </row>
    <row r="1599" spans="1:15" ht="15" customHeight="1">
      <c r="A1599" s="31"/>
      <c r="B1599" s="31"/>
      <c r="C1599" s="32"/>
      <c r="D1599" s="31"/>
      <c r="E1599" s="31"/>
      <c r="F1599" s="31"/>
      <c r="G1599" s="31"/>
      <c r="H1599" s="31"/>
      <c r="I1599" s="31"/>
      <c r="J1599" s="31"/>
      <c r="K1599" s="31"/>
      <c r="L1599" s="31"/>
      <c r="M1599" s="31"/>
      <c r="N1599" s="33"/>
      <c r="O1599" s="31"/>
    </row>
    <row r="1600" spans="1:15" ht="15" customHeight="1">
      <c r="A1600" s="31"/>
      <c r="B1600" s="31"/>
      <c r="C1600" s="32"/>
      <c r="D1600" s="31"/>
      <c r="E1600" s="31"/>
      <c r="F1600" s="31"/>
      <c r="G1600" s="31"/>
      <c r="H1600" s="31"/>
      <c r="I1600" s="31"/>
      <c r="J1600" s="31"/>
      <c r="K1600" s="31"/>
      <c r="L1600" s="31"/>
      <c r="M1600" s="31"/>
      <c r="N1600" s="33"/>
      <c r="O1600" s="31"/>
    </row>
    <row r="1601" spans="1:15" ht="15" customHeight="1">
      <c r="A1601" s="31"/>
      <c r="B1601" s="31"/>
      <c r="C1601" s="32"/>
      <c r="D1601" s="31"/>
      <c r="E1601" s="31"/>
      <c r="F1601" s="31"/>
      <c r="G1601" s="31"/>
      <c r="H1601" s="31"/>
      <c r="I1601" s="31"/>
      <c r="J1601" s="31"/>
      <c r="K1601" s="31"/>
      <c r="L1601" s="31"/>
      <c r="M1601" s="31"/>
      <c r="N1601" s="33"/>
      <c r="O1601" s="31"/>
    </row>
    <row r="1602" spans="1:15" ht="15" customHeight="1">
      <c r="A1602" s="31"/>
      <c r="B1602" s="31"/>
      <c r="C1602" s="32"/>
      <c r="D1602" s="31"/>
      <c r="E1602" s="31"/>
      <c r="F1602" s="31"/>
      <c r="G1602" s="31"/>
      <c r="H1602" s="31"/>
      <c r="I1602" s="31"/>
      <c r="J1602" s="31"/>
      <c r="K1602" s="31"/>
      <c r="L1602" s="31"/>
      <c r="M1602" s="31"/>
      <c r="N1602" s="33"/>
      <c r="O1602" s="31"/>
    </row>
    <row r="1603" spans="1:15" ht="15" customHeight="1">
      <c r="A1603" s="31"/>
      <c r="B1603" s="31"/>
      <c r="C1603" s="32"/>
      <c r="D1603" s="31"/>
      <c r="E1603" s="31"/>
      <c r="F1603" s="31"/>
      <c r="G1603" s="31"/>
      <c r="H1603" s="31"/>
      <c r="I1603" s="31"/>
      <c r="J1603" s="31"/>
      <c r="K1603" s="31"/>
      <c r="L1603" s="31"/>
      <c r="M1603" s="31"/>
      <c r="N1603" s="33"/>
      <c r="O1603" s="31"/>
    </row>
    <row r="1604" spans="1:15" ht="15" customHeight="1">
      <c r="A1604" s="31"/>
      <c r="B1604" s="31"/>
      <c r="C1604" s="32"/>
      <c r="D1604" s="31"/>
      <c r="E1604" s="31"/>
      <c r="F1604" s="31"/>
      <c r="G1604" s="31"/>
      <c r="H1604" s="31"/>
      <c r="I1604" s="31"/>
      <c r="J1604" s="31"/>
      <c r="K1604" s="31"/>
      <c r="L1604" s="31"/>
      <c r="M1604" s="31"/>
      <c r="N1604" s="33"/>
      <c r="O1604" s="31"/>
    </row>
    <row r="1605" spans="1:15" ht="15" customHeight="1">
      <c r="A1605" s="31"/>
      <c r="B1605" s="31"/>
      <c r="C1605" s="32"/>
      <c r="D1605" s="31"/>
      <c r="E1605" s="31"/>
      <c r="F1605" s="31"/>
      <c r="G1605" s="31"/>
      <c r="H1605" s="31"/>
      <c r="I1605" s="31"/>
      <c r="J1605" s="31"/>
      <c r="K1605" s="31"/>
      <c r="L1605" s="31"/>
      <c r="M1605" s="31"/>
      <c r="N1605" s="33"/>
      <c r="O1605" s="31"/>
    </row>
    <row r="1606" spans="1:15" ht="15" customHeight="1">
      <c r="A1606" s="31"/>
      <c r="B1606" s="31"/>
      <c r="C1606" s="32"/>
      <c r="D1606" s="31"/>
      <c r="E1606" s="31"/>
      <c r="F1606" s="31"/>
      <c r="G1606" s="31"/>
      <c r="H1606" s="31"/>
      <c r="I1606" s="31"/>
      <c r="J1606" s="31"/>
      <c r="K1606" s="31"/>
      <c r="L1606" s="31"/>
      <c r="M1606" s="31"/>
      <c r="N1606" s="33"/>
      <c r="O1606" s="31"/>
    </row>
    <row r="1607" spans="1:15" ht="15" customHeight="1">
      <c r="A1607" s="31"/>
      <c r="B1607" s="31"/>
      <c r="C1607" s="32"/>
      <c r="D1607" s="31"/>
      <c r="E1607" s="31"/>
      <c r="F1607" s="31"/>
      <c r="G1607" s="31"/>
      <c r="H1607" s="31"/>
      <c r="I1607" s="31"/>
      <c r="J1607" s="31"/>
      <c r="K1607" s="31"/>
      <c r="L1607" s="31"/>
      <c r="M1607" s="31"/>
      <c r="N1607" s="33"/>
      <c r="O1607" s="31"/>
    </row>
    <row r="1608" spans="1:15" ht="15" customHeight="1">
      <c r="A1608" s="31"/>
      <c r="B1608" s="31"/>
      <c r="C1608" s="32"/>
      <c r="D1608" s="31"/>
      <c r="E1608" s="31"/>
      <c r="F1608" s="31"/>
      <c r="G1608" s="31"/>
      <c r="H1608" s="31"/>
      <c r="I1608" s="31"/>
      <c r="J1608" s="31"/>
      <c r="K1608" s="31"/>
      <c r="L1608" s="31"/>
      <c r="M1608" s="31"/>
      <c r="N1608" s="33"/>
      <c r="O1608" s="31"/>
    </row>
    <row r="1609" spans="1:15" ht="15" customHeight="1">
      <c r="A1609" s="31"/>
      <c r="B1609" s="31"/>
      <c r="C1609" s="32"/>
      <c r="D1609" s="31"/>
      <c r="E1609" s="31"/>
      <c r="F1609" s="31"/>
      <c r="G1609" s="31"/>
      <c r="H1609" s="31"/>
      <c r="I1609" s="31"/>
      <c r="J1609" s="31"/>
      <c r="K1609" s="31"/>
      <c r="L1609" s="31"/>
      <c r="M1609" s="31"/>
      <c r="N1609" s="33"/>
      <c r="O1609" s="31"/>
    </row>
    <row r="1610" spans="1:15" ht="15" customHeight="1">
      <c r="A1610" s="31"/>
      <c r="B1610" s="31"/>
      <c r="C1610" s="32"/>
      <c r="D1610" s="31"/>
      <c r="E1610" s="31"/>
      <c r="F1610" s="31"/>
      <c r="G1610" s="31"/>
      <c r="H1610" s="31"/>
      <c r="I1610" s="31"/>
      <c r="J1610" s="31"/>
      <c r="K1610" s="31"/>
      <c r="L1610" s="31"/>
      <c r="M1610" s="31"/>
      <c r="N1610" s="33"/>
      <c r="O1610" s="31"/>
    </row>
    <row r="1611" spans="1:15" ht="15" customHeight="1">
      <c r="A1611" s="31"/>
      <c r="B1611" s="31"/>
      <c r="C1611" s="32"/>
      <c r="D1611" s="31"/>
      <c r="E1611" s="31"/>
      <c r="F1611" s="31"/>
      <c r="G1611" s="31"/>
      <c r="H1611" s="31"/>
      <c r="I1611" s="31"/>
      <c r="J1611" s="31"/>
      <c r="K1611" s="31"/>
      <c r="L1611" s="31"/>
      <c r="M1611" s="31"/>
      <c r="N1611" s="33"/>
      <c r="O1611" s="31"/>
    </row>
    <row r="1612" spans="1:15" ht="15" customHeight="1">
      <c r="A1612" s="31"/>
      <c r="B1612" s="31"/>
      <c r="C1612" s="32"/>
      <c r="D1612" s="31"/>
      <c r="E1612" s="31"/>
      <c r="F1612" s="31"/>
      <c r="G1612" s="31"/>
      <c r="H1612" s="31"/>
      <c r="I1612" s="31"/>
      <c r="J1612" s="31"/>
      <c r="K1612" s="31"/>
      <c r="L1612" s="31"/>
      <c r="M1612" s="31"/>
      <c r="N1612" s="33"/>
      <c r="O1612" s="31"/>
    </row>
    <row r="1613" spans="1:15" ht="15" customHeight="1">
      <c r="A1613" s="31"/>
      <c r="B1613" s="31"/>
      <c r="C1613" s="32"/>
      <c r="D1613" s="31"/>
      <c r="E1613" s="31"/>
      <c r="F1613" s="31"/>
      <c r="G1613" s="31"/>
      <c r="H1613" s="31"/>
      <c r="I1613" s="31"/>
      <c r="J1613" s="31"/>
      <c r="K1613" s="31"/>
      <c r="L1613" s="31"/>
      <c r="M1613" s="31"/>
      <c r="N1613" s="33"/>
      <c r="O1613" s="31"/>
    </row>
    <row r="1614" spans="1:15" ht="15" customHeight="1">
      <c r="A1614" s="31"/>
      <c r="B1614" s="31"/>
      <c r="C1614" s="32"/>
      <c r="D1614" s="31"/>
      <c r="E1614" s="31"/>
      <c r="F1614" s="31"/>
      <c r="G1614" s="31"/>
      <c r="H1614" s="31"/>
      <c r="I1614" s="31"/>
      <c r="J1614" s="31"/>
      <c r="K1614" s="31"/>
      <c r="L1614" s="31"/>
      <c r="M1614" s="31"/>
      <c r="N1614" s="33"/>
      <c r="O1614" s="31"/>
    </row>
    <row r="1615" spans="1:15" ht="15" customHeight="1">
      <c r="A1615" s="31"/>
      <c r="B1615" s="31"/>
      <c r="C1615" s="32"/>
      <c r="D1615" s="31"/>
      <c r="E1615" s="31"/>
      <c r="F1615" s="31"/>
      <c r="G1615" s="31"/>
      <c r="H1615" s="31"/>
      <c r="I1615" s="31"/>
      <c r="J1615" s="31"/>
      <c r="K1615" s="31"/>
      <c r="L1615" s="31"/>
      <c r="M1615" s="31"/>
      <c r="N1615" s="33"/>
      <c r="O1615" s="31"/>
    </row>
    <row r="1616" spans="1:15" ht="15" customHeight="1">
      <c r="A1616" s="31"/>
      <c r="B1616" s="31"/>
      <c r="C1616" s="32"/>
      <c r="D1616" s="31"/>
      <c r="E1616" s="31"/>
      <c r="F1616" s="31"/>
      <c r="G1616" s="31"/>
      <c r="H1616" s="31"/>
      <c r="I1616" s="31"/>
      <c r="J1616" s="31"/>
      <c r="K1616" s="31"/>
      <c r="L1616" s="31"/>
      <c r="M1616" s="31"/>
      <c r="N1616" s="33"/>
      <c r="O1616" s="31"/>
    </row>
    <row r="1617" spans="1:15" ht="15" customHeight="1">
      <c r="A1617" s="31"/>
      <c r="B1617" s="31"/>
      <c r="C1617" s="32"/>
      <c r="D1617" s="31"/>
      <c r="E1617" s="31"/>
      <c r="F1617" s="31"/>
      <c r="G1617" s="31"/>
      <c r="H1617" s="31"/>
      <c r="I1617" s="31"/>
      <c r="J1617" s="31"/>
      <c r="K1617" s="31"/>
      <c r="L1617" s="31"/>
      <c r="M1617" s="31"/>
      <c r="N1617" s="33"/>
      <c r="O1617" s="31"/>
    </row>
    <row r="1618" spans="1:15" ht="15" customHeight="1">
      <c r="A1618" s="31"/>
      <c r="B1618" s="31"/>
      <c r="C1618" s="32"/>
      <c r="D1618" s="31"/>
      <c r="E1618" s="31"/>
      <c r="F1618" s="31"/>
      <c r="G1618" s="31"/>
      <c r="H1618" s="31"/>
      <c r="I1618" s="31"/>
      <c r="J1618" s="31"/>
      <c r="K1618" s="31"/>
      <c r="L1618" s="31"/>
      <c r="M1618" s="31"/>
      <c r="N1618" s="33"/>
      <c r="O1618" s="31"/>
    </row>
    <row r="1619" spans="1:15" ht="15" customHeight="1">
      <c r="A1619" s="31"/>
      <c r="B1619" s="31"/>
      <c r="C1619" s="32"/>
      <c r="D1619" s="31"/>
      <c r="E1619" s="31"/>
      <c r="F1619" s="31"/>
      <c r="G1619" s="31"/>
      <c r="H1619" s="31"/>
      <c r="I1619" s="31"/>
      <c r="J1619" s="31"/>
      <c r="K1619" s="31"/>
      <c r="L1619" s="31"/>
      <c r="M1619" s="31"/>
      <c r="N1619" s="33"/>
      <c r="O1619" s="31"/>
    </row>
    <row r="1620" spans="1:15" ht="15" customHeight="1">
      <c r="A1620" s="31"/>
      <c r="B1620" s="31"/>
      <c r="C1620" s="32"/>
      <c r="D1620" s="31"/>
      <c r="E1620" s="31"/>
      <c r="F1620" s="31"/>
      <c r="G1620" s="31"/>
      <c r="H1620" s="31"/>
      <c r="I1620" s="31"/>
      <c r="J1620" s="31"/>
      <c r="K1620" s="31"/>
      <c r="L1620" s="31"/>
      <c r="M1620" s="31"/>
      <c r="N1620" s="33"/>
      <c r="O1620" s="31"/>
    </row>
    <row r="1621" spans="1:15" ht="15" customHeight="1">
      <c r="A1621" s="31"/>
      <c r="B1621" s="31"/>
      <c r="C1621" s="32"/>
      <c r="D1621" s="31"/>
      <c r="E1621" s="31"/>
      <c r="F1621" s="31"/>
      <c r="G1621" s="31"/>
      <c r="H1621" s="31"/>
      <c r="I1621" s="31"/>
      <c r="J1621" s="31"/>
      <c r="K1621" s="31"/>
      <c r="L1621" s="31"/>
      <c r="M1621" s="31"/>
      <c r="N1621" s="33"/>
      <c r="O1621" s="31"/>
    </row>
    <row r="1622" spans="1:15" ht="15" customHeight="1">
      <c r="A1622" s="31"/>
      <c r="B1622" s="31"/>
      <c r="C1622" s="32"/>
      <c r="D1622" s="31"/>
      <c r="E1622" s="31"/>
      <c r="F1622" s="31"/>
      <c r="G1622" s="31"/>
      <c r="H1622" s="31"/>
      <c r="I1622" s="31"/>
      <c r="J1622" s="31"/>
      <c r="K1622" s="31"/>
      <c r="L1622" s="31"/>
      <c r="M1622" s="31"/>
      <c r="N1622" s="33"/>
      <c r="O1622" s="31"/>
    </row>
    <row r="1623" spans="1:15" ht="15" customHeight="1">
      <c r="A1623" s="31"/>
      <c r="B1623" s="31"/>
      <c r="C1623" s="32"/>
      <c r="D1623" s="31"/>
      <c r="E1623" s="31"/>
      <c r="F1623" s="31"/>
      <c r="G1623" s="31"/>
      <c r="H1623" s="31"/>
      <c r="I1623" s="31"/>
      <c r="J1623" s="31"/>
      <c r="K1623" s="31"/>
      <c r="L1623" s="31"/>
      <c r="M1623" s="31"/>
      <c r="N1623" s="33"/>
      <c r="O1623" s="31"/>
    </row>
    <row r="1624" spans="1:15" ht="15" customHeight="1">
      <c r="A1624" s="31"/>
      <c r="B1624" s="31"/>
      <c r="C1624" s="32"/>
      <c r="D1624" s="31"/>
      <c r="E1624" s="31"/>
      <c r="F1624" s="31"/>
      <c r="G1624" s="31"/>
      <c r="H1624" s="31"/>
      <c r="I1624" s="31"/>
      <c r="J1624" s="31"/>
      <c r="K1624" s="31"/>
      <c r="L1624" s="31"/>
      <c r="M1624" s="31"/>
      <c r="N1624" s="33"/>
      <c r="O1624" s="31"/>
    </row>
    <row r="1625" spans="1:15" ht="15" customHeight="1">
      <c r="A1625" s="31"/>
      <c r="B1625" s="31"/>
      <c r="C1625" s="32"/>
      <c r="D1625" s="31"/>
      <c r="E1625" s="31"/>
      <c r="F1625" s="31"/>
      <c r="G1625" s="31"/>
      <c r="H1625" s="31"/>
      <c r="I1625" s="31"/>
      <c r="J1625" s="31"/>
      <c r="K1625" s="31"/>
      <c r="L1625" s="31"/>
      <c r="M1625" s="31"/>
      <c r="N1625" s="33"/>
      <c r="O1625" s="31"/>
    </row>
    <row r="1626" spans="1:15" ht="15" customHeight="1">
      <c r="A1626" s="31"/>
      <c r="B1626" s="31"/>
      <c r="C1626" s="32"/>
      <c r="D1626" s="31"/>
      <c r="E1626" s="31"/>
      <c r="F1626" s="31"/>
      <c r="G1626" s="31"/>
      <c r="H1626" s="31"/>
      <c r="I1626" s="31"/>
      <c r="J1626" s="31"/>
      <c r="K1626" s="31"/>
      <c r="L1626" s="31"/>
      <c r="M1626" s="31"/>
      <c r="N1626" s="33"/>
      <c r="O1626" s="31"/>
    </row>
    <row r="1627" spans="1:15" ht="15" customHeight="1">
      <c r="A1627" s="31"/>
      <c r="B1627" s="31"/>
      <c r="C1627" s="32"/>
      <c r="D1627" s="31"/>
      <c r="E1627" s="31"/>
      <c r="F1627" s="31"/>
      <c r="G1627" s="31"/>
      <c r="H1627" s="31"/>
      <c r="I1627" s="31"/>
      <c r="J1627" s="31"/>
      <c r="K1627" s="31"/>
      <c r="L1627" s="31"/>
      <c r="M1627" s="31"/>
      <c r="N1627" s="33"/>
      <c r="O1627" s="31"/>
    </row>
    <row r="1628" spans="1:15" ht="15" customHeight="1">
      <c r="A1628" s="31"/>
      <c r="B1628" s="31"/>
      <c r="C1628" s="32"/>
      <c r="D1628" s="31"/>
      <c r="E1628" s="31"/>
      <c r="F1628" s="31"/>
      <c r="G1628" s="31"/>
      <c r="H1628" s="31"/>
      <c r="I1628" s="31"/>
      <c r="J1628" s="31"/>
      <c r="K1628" s="31"/>
      <c r="L1628" s="31"/>
      <c r="M1628" s="31"/>
      <c r="N1628" s="33"/>
      <c r="O1628" s="31"/>
    </row>
    <row r="1629" spans="1:15" ht="15" customHeight="1">
      <c r="A1629" s="31"/>
      <c r="B1629" s="31"/>
      <c r="C1629" s="32"/>
      <c r="D1629" s="31"/>
      <c r="E1629" s="31"/>
      <c r="F1629" s="31"/>
      <c r="G1629" s="31"/>
      <c r="H1629" s="31"/>
      <c r="I1629" s="31"/>
      <c r="J1629" s="31"/>
      <c r="K1629" s="31"/>
      <c r="L1629" s="31"/>
      <c r="M1629" s="31"/>
      <c r="N1629" s="33"/>
      <c r="O1629" s="31"/>
    </row>
    <row r="1630" spans="1:15" ht="15" customHeight="1">
      <c r="A1630" s="31"/>
      <c r="B1630" s="31"/>
      <c r="C1630" s="32"/>
      <c r="D1630" s="31"/>
      <c r="E1630" s="31"/>
      <c r="F1630" s="31"/>
      <c r="G1630" s="31"/>
      <c r="H1630" s="31"/>
      <c r="I1630" s="31"/>
      <c r="J1630" s="31"/>
      <c r="K1630" s="31"/>
      <c r="L1630" s="31"/>
      <c r="M1630" s="31"/>
      <c r="N1630" s="33"/>
      <c r="O1630" s="31"/>
    </row>
    <row r="1631" spans="1:15" ht="15" customHeight="1">
      <c r="A1631" s="31"/>
      <c r="B1631" s="31"/>
      <c r="C1631" s="32"/>
      <c r="D1631" s="31"/>
      <c r="E1631" s="31"/>
      <c r="F1631" s="31"/>
      <c r="G1631" s="31"/>
      <c r="H1631" s="31"/>
      <c r="I1631" s="31"/>
      <c r="J1631" s="31"/>
      <c r="K1631" s="31"/>
      <c r="L1631" s="31"/>
      <c r="M1631" s="31"/>
      <c r="N1631" s="33"/>
      <c r="O1631" s="31"/>
    </row>
    <row r="1632" spans="1:15" ht="15" customHeight="1">
      <c r="A1632" s="31"/>
      <c r="B1632" s="31"/>
      <c r="C1632" s="32"/>
      <c r="D1632" s="31"/>
      <c r="E1632" s="31"/>
      <c r="F1632" s="31"/>
      <c r="G1632" s="31"/>
      <c r="H1632" s="31"/>
      <c r="I1632" s="31"/>
      <c r="J1632" s="31"/>
      <c r="K1632" s="31"/>
      <c r="L1632" s="31"/>
      <c r="M1632" s="31"/>
      <c r="N1632" s="33"/>
      <c r="O1632" s="31"/>
    </row>
    <row r="1633" spans="1:15" ht="15" customHeight="1">
      <c r="A1633" s="31"/>
      <c r="B1633" s="31"/>
      <c r="C1633" s="32"/>
      <c r="D1633" s="31"/>
      <c r="E1633" s="31"/>
      <c r="F1633" s="31"/>
      <c r="G1633" s="31"/>
      <c r="H1633" s="31"/>
      <c r="I1633" s="31"/>
      <c r="J1633" s="31"/>
      <c r="K1633" s="31"/>
      <c r="L1633" s="31"/>
      <c r="M1633" s="31"/>
      <c r="N1633" s="33"/>
      <c r="O1633" s="31"/>
    </row>
    <row r="1634" spans="1:15" ht="15" customHeight="1">
      <c r="A1634" s="31"/>
      <c r="B1634" s="31"/>
      <c r="C1634" s="32"/>
      <c r="D1634" s="31"/>
      <c r="E1634" s="31"/>
      <c r="F1634" s="31"/>
      <c r="G1634" s="31"/>
      <c r="H1634" s="31"/>
      <c r="I1634" s="31"/>
      <c r="J1634" s="31"/>
      <c r="K1634" s="31"/>
      <c r="L1634" s="31"/>
      <c r="M1634" s="31"/>
      <c r="N1634" s="33"/>
      <c r="O1634" s="31"/>
    </row>
    <row r="1635" spans="1:15" ht="15" customHeight="1">
      <c r="A1635" s="31"/>
      <c r="B1635" s="31"/>
      <c r="C1635" s="32"/>
      <c r="D1635" s="31"/>
      <c r="E1635" s="31"/>
      <c r="F1635" s="31"/>
      <c r="G1635" s="31"/>
      <c r="H1635" s="31"/>
      <c r="I1635" s="31"/>
      <c r="J1635" s="31"/>
      <c r="K1635" s="31"/>
      <c r="L1635" s="31"/>
      <c r="M1635" s="31"/>
      <c r="N1635" s="33"/>
      <c r="O1635" s="31"/>
    </row>
    <row r="1636" spans="1:15" ht="15" customHeight="1">
      <c r="A1636" s="31"/>
      <c r="B1636" s="31"/>
      <c r="C1636" s="32"/>
      <c r="D1636" s="31"/>
      <c r="E1636" s="31"/>
      <c r="F1636" s="31"/>
      <c r="G1636" s="31"/>
      <c r="H1636" s="31"/>
      <c r="I1636" s="31"/>
      <c r="J1636" s="31"/>
      <c r="K1636" s="31"/>
      <c r="L1636" s="31"/>
      <c r="M1636" s="31"/>
      <c r="N1636" s="33"/>
      <c r="O1636" s="31"/>
    </row>
    <row r="1637" spans="1:15" ht="15" customHeight="1">
      <c r="A1637" s="31"/>
      <c r="B1637" s="31"/>
      <c r="C1637" s="32"/>
      <c r="D1637" s="31"/>
      <c r="E1637" s="31"/>
      <c r="F1637" s="31"/>
      <c r="G1637" s="31"/>
      <c r="H1637" s="31"/>
      <c r="I1637" s="31"/>
      <c r="J1637" s="31"/>
      <c r="K1637" s="31"/>
      <c r="L1637" s="31"/>
      <c r="M1637" s="31"/>
      <c r="N1637" s="33"/>
      <c r="O1637" s="31"/>
    </row>
    <row r="1638" spans="1:15" ht="15" customHeight="1">
      <c r="A1638" s="31"/>
      <c r="B1638" s="31"/>
      <c r="C1638" s="32"/>
      <c r="D1638" s="31"/>
      <c r="E1638" s="31"/>
      <c r="F1638" s="31"/>
      <c r="G1638" s="31"/>
      <c r="H1638" s="31"/>
      <c r="I1638" s="31"/>
      <c r="J1638" s="31"/>
      <c r="K1638" s="31"/>
      <c r="L1638" s="31"/>
      <c r="M1638" s="31"/>
      <c r="N1638" s="33"/>
      <c r="O1638" s="31"/>
    </row>
    <row r="1639" spans="1:15" ht="15" customHeight="1">
      <c r="A1639" s="31"/>
      <c r="B1639" s="31"/>
      <c r="C1639" s="32"/>
      <c r="D1639" s="31"/>
      <c r="E1639" s="31"/>
      <c r="F1639" s="31"/>
      <c r="G1639" s="31"/>
      <c r="H1639" s="31"/>
      <c r="I1639" s="31"/>
      <c r="J1639" s="31"/>
      <c r="K1639" s="31"/>
      <c r="L1639" s="31"/>
      <c r="M1639" s="31"/>
      <c r="N1639" s="33"/>
      <c r="O1639" s="31"/>
    </row>
    <row r="1640" spans="1:15" ht="15" customHeight="1">
      <c r="A1640" s="31"/>
      <c r="B1640" s="31"/>
      <c r="C1640" s="32"/>
      <c r="D1640" s="31"/>
      <c r="E1640" s="31"/>
      <c r="F1640" s="31"/>
      <c r="G1640" s="31"/>
      <c r="H1640" s="31"/>
      <c r="I1640" s="31"/>
      <c r="J1640" s="31"/>
      <c r="K1640" s="31"/>
      <c r="L1640" s="31"/>
      <c r="M1640" s="31"/>
      <c r="N1640" s="33"/>
      <c r="O1640" s="31"/>
    </row>
    <row r="1641" spans="1:15" ht="15" customHeight="1">
      <c r="A1641" s="31"/>
      <c r="B1641" s="31"/>
      <c r="C1641" s="32"/>
      <c r="D1641" s="31"/>
      <c r="E1641" s="31"/>
      <c r="F1641" s="31"/>
      <c r="G1641" s="31"/>
      <c r="H1641" s="31"/>
      <c r="I1641" s="31"/>
      <c r="J1641" s="31"/>
      <c r="K1641" s="31"/>
      <c r="L1641" s="31"/>
      <c r="M1641" s="31"/>
      <c r="N1641" s="33"/>
      <c r="O1641" s="31"/>
    </row>
    <row r="1642" spans="1:15" ht="15" customHeight="1">
      <c r="A1642" s="31"/>
      <c r="B1642" s="31"/>
      <c r="C1642" s="32"/>
      <c r="D1642" s="31"/>
      <c r="E1642" s="31"/>
      <c r="F1642" s="31"/>
      <c r="G1642" s="31"/>
      <c r="H1642" s="31"/>
      <c r="I1642" s="31"/>
      <c r="J1642" s="31"/>
      <c r="K1642" s="31"/>
      <c r="L1642" s="31"/>
      <c r="M1642" s="31"/>
      <c r="N1642" s="33"/>
      <c r="O1642" s="31"/>
    </row>
    <row r="1643" spans="1:15" ht="15" customHeight="1">
      <c r="A1643" s="31"/>
      <c r="B1643" s="31"/>
      <c r="C1643" s="32"/>
      <c r="D1643" s="31"/>
      <c r="E1643" s="31"/>
      <c r="F1643" s="31"/>
      <c r="G1643" s="31"/>
      <c r="H1643" s="31"/>
      <c r="I1643" s="31"/>
      <c r="J1643" s="31"/>
      <c r="K1643" s="31"/>
      <c r="L1643" s="31"/>
      <c r="M1643" s="31"/>
      <c r="N1643" s="33"/>
      <c r="O1643" s="31"/>
    </row>
    <row r="1644" spans="1:15" ht="15" customHeight="1">
      <c r="A1644" s="31"/>
      <c r="B1644" s="31"/>
      <c r="C1644" s="32"/>
      <c r="D1644" s="31"/>
      <c r="E1644" s="31"/>
      <c r="F1644" s="31"/>
      <c r="G1644" s="31"/>
      <c r="H1644" s="31"/>
      <c r="I1644" s="31"/>
      <c r="J1644" s="31"/>
      <c r="K1644" s="31"/>
      <c r="L1644" s="31"/>
      <c r="M1644" s="31"/>
      <c r="N1644" s="33"/>
      <c r="O1644" s="31"/>
    </row>
    <row r="1645" spans="1:15" ht="15" customHeight="1">
      <c r="A1645" s="31"/>
      <c r="B1645" s="31"/>
      <c r="C1645" s="32"/>
      <c r="D1645" s="31"/>
      <c r="E1645" s="31"/>
      <c r="F1645" s="31"/>
      <c r="G1645" s="31"/>
      <c r="H1645" s="31"/>
      <c r="I1645" s="31"/>
      <c r="J1645" s="31"/>
      <c r="K1645" s="31"/>
      <c r="L1645" s="31"/>
      <c r="M1645" s="31"/>
      <c r="N1645" s="33"/>
      <c r="O1645" s="31"/>
    </row>
    <row r="1646" spans="1:15" ht="15" customHeight="1">
      <c r="A1646" s="31"/>
      <c r="B1646" s="31"/>
      <c r="C1646" s="32"/>
      <c r="D1646" s="31"/>
      <c r="E1646" s="31"/>
      <c r="F1646" s="31"/>
      <c r="G1646" s="31"/>
      <c r="H1646" s="31"/>
      <c r="I1646" s="31"/>
      <c r="J1646" s="31"/>
      <c r="K1646" s="31"/>
      <c r="L1646" s="31"/>
      <c r="M1646" s="31"/>
      <c r="N1646" s="33"/>
      <c r="O1646" s="31"/>
    </row>
    <row r="1647" spans="1:15" ht="15" customHeight="1">
      <c r="A1647" s="31"/>
      <c r="B1647" s="31"/>
      <c r="C1647" s="32"/>
      <c r="D1647" s="31"/>
      <c r="E1647" s="31"/>
      <c r="F1647" s="31"/>
      <c r="G1647" s="31"/>
      <c r="H1647" s="31"/>
      <c r="I1647" s="31"/>
      <c r="J1647" s="31"/>
      <c r="K1647" s="31"/>
      <c r="L1647" s="31"/>
      <c r="M1647" s="31"/>
      <c r="N1647" s="33"/>
      <c r="O1647" s="31"/>
    </row>
    <row r="1648" spans="1:15" ht="15" customHeight="1">
      <c r="A1648" s="31"/>
      <c r="B1648" s="31"/>
      <c r="C1648" s="32"/>
      <c r="D1648" s="31"/>
      <c r="E1648" s="31"/>
      <c r="F1648" s="31"/>
      <c r="G1648" s="31"/>
      <c r="H1648" s="31"/>
      <c r="I1648" s="31"/>
      <c r="J1648" s="31"/>
      <c r="K1648" s="31"/>
      <c r="L1648" s="31"/>
      <c r="M1648" s="31"/>
      <c r="N1648" s="33"/>
      <c r="O1648" s="31"/>
    </row>
    <row r="1649" spans="1:15" ht="15" customHeight="1">
      <c r="A1649" s="31"/>
      <c r="B1649" s="31"/>
      <c r="C1649" s="32"/>
      <c r="D1649" s="31"/>
      <c r="E1649" s="31"/>
      <c r="F1649" s="31"/>
      <c r="G1649" s="31"/>
      <c r="H1649" s="31"/>
      <c r="I1649" s="31"/>
      <c r="J1649" s="31"/>
      <c r="K1649" s="31"/>
      <c r="L1649" s="31"/>
      <c r="M1649" s="31"/>
      <c r="N1649" s="33"/>
      <c r="O1649" s="31"/>
    </row>
    <row r="1650" spans="1:15" ht="15" customHeight="1">
      <c r="A1650" s="31"/>
      <c r="B1650" s="31"/>
      <c r="C1650" s="32"/>
      <c r="D1650" s="31"/>
      <c r="E1650" s="31"/>
      <c r="F1650" s="31"/>
      <c r="G1650" s="31"/>
      <c r="H1650" s="31"/>
      <c r="I1650" s="31"/>
      <c r="J1650" s="31"/>
      <c r="K1650" s="31"/>
      <c r="L1650" s="31"/>
      <c r="M1650" s="31"/>
      <c r="N1650" s="33"/>
      <c r="O1650" s="31"/>
    </row>
    <row r="1651" spans="1:15" ht="15" customHeight="1">
      <c r="A1651" s="31"/>
      <c r="B1651" s="31"/>
      <c r="C1651" s="32"/>
      <c r="D1651" s="31"/>
      <c r="E1651" s="31"/>
      <c r="F1651" s="31"/>
      <c r="G1651" s="31"/>
      <c r="H1651" s="31"/>
      <c r="I1651" s="31"/>
      <c r="J1651" s="31"/>
      <c r="K1651" s="31"/>
      <c r="L1651" s="31"/>
      <c r="M1651" s="31"/>
      <c r="N1651" s="33"/>
      <c r="O1651" s="31"/>
    </row>
    <row r="1652" spans="1:15" ht="15" customHeight="1">
      <c r="A1652" s="31"/>
      <c r="B1652" s="31"/>
      <c r="C1652" s="32"/>
      <c r="D1652" s="31"/>
      <c r="E1652" s="31"/>
      <c r="F1652" s="31"/>
      <c r="G1652" s="31"/>
      <c r="H1652" s="31"/>
      <c r="I1652" s="31"/>
      <c r="J1652" s="31"/>
      <c r="K1652" s="31"/>
      <c r="L1652" s="31"/>
      <c r="M1652" s="31"/>
      <c r="N1652" s="33"/>
      <c r="O1652" s="31"/>
    </row>
    <row r="1653" spans="1:15" ht="15" customHeight="1">
      <c r="A1653" s="31"/>
      <c r="B1653" s="31"/>
      <c r="C1653" s="32"/>
      <c r="D1653" s="31"/>
      <c r="E1653" s="31"/>
      <c r="F1653" s="31"/>
      <c r="G1653" s="31"/>
      <c r="H1653" s="31"/>
      <c r="I1653" s="31"/>
      <c r="J1653" s="31"/>
      <c r="K1653" s="31"/>
      <c r="L1653" s="31"/>
      <c r="M1653" s="31"/>
      <c r="N1653" s="33"/>
      <c r="O1653" s="31"/>
    </row>
    <row r="1654" spans="1:15" ht="15" customHeight="1">
      <c r="A1654" s="31"/>
      <c r="B1654" s="31"/>
      <c r="C1654" s="32"/>
      <c r="D1654" s="31"/>
      <c r="E1654" s="31"/>
      <c r="F1654" s="31"/>
      <c r="G1654" s="31"/>
      <c r="H1654" s="31"/>
      <c r="I1654" s="31"/>
      <c r="J1654" s="31"/>
      <c r="K1654" s="31"/>
      <c r="L1654" s="31"/>
      <c r="M1654" s="31"/>
      <c r="N1654" s="33"/>
      <c r="O1654" s="31"/>
    </row>
    <row r="1655" spans="1:15" ht="15" customHeight="1">
      <c r="A1655" s="31"/>
      <c r="B1655" s="31"/>
      <c r="C1655" s="32"/>
      <c r="D1655" s="31"/>
      <c r="E1655" s="31"/>
      <c r="F1655" s="31"/>
      <c r="G1655" s="31"/>
      <c r="H1655" s="31"/>
      <c r="I1655" s="31"/>
      <c r="J1655" s="31"/>
      <c r="K1655" s="31"/>
      <c r="L1655" s="31"/>
      <c r="M1655" s="31"/>
      <c r="N1655" s="33"/>
      <c r="O1655" s="31"/>
    </row>
    <row r="1656" spans="1:15" ht="15" customHeight="1">
      <c r="A1656" s="31"/>
      <c r="B1656" s="31"/>
      <c r="C1656" s="32"/>
      <c r="D1656" s="31"/>
      <c r="E1656" s="31"/>
      <c r="F1656" s="31"/>
      <c r="G1656" s="31"/>
      <c r="H1656" s="31"/>
      <c r="I1656" s="31"/>
      <c r="J1656" s="31"/>
      <c r="K1656" s="31"/>
      <c r="L1656" s="31"/>
      <c r="M1656" s="31"/>
      <c r="N1656" s="33"/>
      <c r="O1656" s="31"/>
    </row>
    <row r="1657" spans="1:15" ht="15" customHeight="1">
      <c r="A1657" s="31"/>
      <c r="B1657" s="31"/>
      <c r="C1657" s="32"/>
      <c r="D1657" s="31"/>
      <c r="E1657" s="31"/>
      <c r="F1657" s="31"/>
      <c r="G1657" s="31"/>
      <c r="H1657" s="31"/>
      <c r="I1657" s="31"/>
      <c r="J1657" s="31"/>
      <c r="K1657" s="31"/>
      <c r="L1657" s="31"/>
      <c r="M1657" s="31"/>
      <c r="N1657" s="33"/>
      <c r="O1657" s="31"/>
    </row>
    <row r="1658" spans="1:15" ht="15" customHeight="1">
      <c r="A1658" s="31"/>
      <c r="B1658" s="31"/>
      <c r="C1658" s="32"/>
      <c r="D1658" s="31"/>
      <c r="E1658" s="31"/>
      <c r="F1658" s="31"/>
      <c r="G1658" s="31"/>
      <c r="H1658" s="31"/>
      <c r="I1658" s="31"/>
      <c r="J1658" s="31"/>
      <c r="K1658" s="31"/>
      <c r="L1658" s="31"/>
      <c r="M1658" s="31"/>
      <c r="N1658" s="33"/>
      <c r="O1658" s="31"/>
    </row>
    <row r="1659" spans="1:15" ht="15" customHeight="1">
      <c r="A1659" s="31"/>
      <c r="B1659" s="31"/>
      <c r="C1659" s="32"/>
      <c r="D1659" s="31"/>
      <c r="E1659" s="31"/>
      <c r="F1659" s="31"/>
      <c r="G1659" s="31"/>
      <c r="H1659" s="31"/>
      <c r="I1659" s="31"/>
      <c r="J1659" s="31"/>
      <c r="K1659" s="31"/>
      <c r="L1659" s="31"/>
      <c r="M1659" s="31"/>
      <c r="N1659" s="33"/>
      <c r="O1659" s="31"/>
    </row>
    <row r="1660" spans="1:15" ht="15" customHeight="1">
      <c r="A1660" s="31"/>
      <c r="B1660" s="31"/>
      <c r="C1660" s="32"/>
      <c r="D1660" s="31"/>
      <c r="E1660" s="31"/>
      <c r="F1660" s="31"/>
      <c r="G1660" s="31"/>
      <c r="H1660" s="31"/>
      <c r="I1660" s="31"/>
      <c r="J1660" s="31"/>
      <c r="K1660" s="31"/>
      <c r="L1660" s="31"/>
      <c r="M1660" s="31"/>
      <c r="N1660" s="33"/>
      <c r="O1660" s="31"/>
    </row>
    <row r="1661" spans="1:15" ht="15" customHeight="1">
      <c r="A1661" s="31"/>
      <c r="B1661" s="31"/>
      <c r="C1661" s="32"/>
      <c r="D1661" s="31"/>
      <c r="E1661" s="31"/>
      <c r="F1661" s="31"/>
      <c r="G1661" s="31"/>
      <c r="H1661" s="31"/>
      <c r="I1661" s="31"/>
      <c r="J1661" s="31"/>
      <c r="K1661" s="31"/>
      <c r="L1661" s="31"/>
      <c r="M1661" s="31"/>
      <c r="N1661" s="33"/>
      <c r="O1661" s="31"/>
    </row>
    <row r="1662" spans="1:15" ht="15" customHeight="1">
      <c r="A1662" s="31"/>
      <c r="B1662" s="31"/>
      <c r="C1662" s="32"/>
      <c r="D1662" s="31"/>
      <c r="E1662" s="31"/>
      <c r="F1662" s="31"/>
      <c r="G1662" s="31"/>
      <c r="H1662" s="31"/>
      <c r="I1662" s="31"/>
      <c r="J1662" s="31"/>
      <c r="K1662" s="31"/>
      <c r="L1662" s="31"/>
      <c r="M1662" s="31"/>
      <c r="N1662" s="33"/>
      <c r="O1662" s="31"/>
    </row>
    <row r="1663" spans="1:15" ht="15" customHeight="1">
      <c r="A1663" s="31"/>
      <c r="B1663" s="31"/>
      <c r="C1663" s="32"/>
      <c r="D1663" s="31"/>
      <c r="E1663" s="31"/>
      <c r="F1663" s="31"/>
      <c r="G1663" s="31"/>
      <c r="H1663" s="31"/>
      <c r="I1663" s="31"/>
      <c r="J1663" s="31"/>
      <c r="K1663" s="31"/>
      <c r="L1663" s="31"/>
      <c r="M1663" s="31"/>
      <c r="N1663" s="33"/>
      <c r="O1663" s="31"/>
    </row>
    <row r="1664" spans="1:15" ht="15" customHeight="1">
      <c r="A1664" s="31"/>
      <c r="B1664" s="31"/>
      <c r="C1664" s="32"/>
      <c r="D1664" s="31"/>
      <c r="E1664" s="31"/>
      <c r="F1664" s="31"/>
      <c r="G1664" s="31"/>
      <c r="H1664" s="31"/>
      <c r="I1664" s="31"/>
      <c r="J1664" s="31"/>
      <c r="K1664" s="31"/>
      <c r="L1664" s="31"/>
      <c r="M1664" s="31"/>
      <c r="N1664" s="33"/>
      <c r="O1664" s="31"/>
    </row>
    <row r="1665" spans="1:15" ht="15" customHeight="1">
      <c r="A1665" s="31"/>
      <c r="B1665" s="31"/>
      <c r="C1665" s="32"/>
      <c r="D1665" s="31"/>
      <c r="E1665" s="31"/>
      <c r="F1665" s="31"/>
      <c r="G1665" s="31"/>
      <c r="H1665" s="31"/>
      <c r="I1665" s="31"/>
      <c r="J1665" s="31"/>
      <c r="K1665" s="31"/>
      <c r="L1665" s="31"/>
      <c r="M1665" s="31"/>
      <c r="N1665" s="33"/>
      <c r="O1665" s="31"/>
    </row>
    <row r="1666" spans="1:15" ht="15" customHeight="1">
      <c r="A1666" s="31"/>
      <c r="B1666" s="31"/>
      <c r="C1666" s="32"/>
      <c r="D1666" s="31"/>
      <c r="E1666" s="31"/>
      <c r="F1666" s="31"/>
      <c r="G1666" s="31"/>
      <c r="H1666" s="31"/>
      <c r="I1666" s="31"/>
      <c r="J1666" s="31"/>
      <c r="K1666" s="31"/>
      <c r="L1666" s="31"/>
      <c r="M1666" s="31"/>
      <c r="N1666" s="33"/>
      <c r="O1666" s="31"/>
    </row>
    <row r="1667" spans="1:15" ht="15" customHeight="1">
      <c r="A1667" s="31"/>
      <c r="B1667" s="31"/>
      <c r="C1667" s="32"/>
      <c r="D1667" s="31"/>
      <c r="E1667" s="31"/>
      <c r="F1667" s="31"/>
      <c r="G1667" s="31"/>
      <c r="H1667" s="31"/>
      <c r="I1667" s="31"/>
      <c r="J1667" s="31"/>
      <c r="K1667" s="31"/>
      <c r="L1667" s="31"/>
      <c r="M1667" s="31"/>
      <c r="N1667" s="33"/>
      <c r="O1667" s="31"/>
    </row>
    <row r="1668" spans="1:15" ht="15" customHeight="1">
      <c r="A1668" s="31"/>
      <c r="B1668" s="31"/>
      <c r="C1668" s="32"/>
      <c r="D1668" s="31"/>
      <c r="E1668" s="31"/>
      <c r="F1668" s="31"/>
      <c r="G1668" s="31"/>
      <c r="H1668" s="31"/>
      <c r="I1668" s="31"/>
      <c r="J1668" s="31"/>
      <c r="K1668" s="31"/>
      <c r="L1668" s="31"/>
      <c r="M1668" s="31"/>
      <c r="N1668" s="33"/>
      <c r="O1668" s="31"/>
    </row>
    <row r="1669" spans="1:15" ht="15" customHeight="1">
      <c r="A1669" s="31"/>
      <c r="B1669" s="31"/>
      <c r="C1669" s="32"/>
      <c r="D1669" s="31"/>
      <c r="E1669" s="31"/>
      <c r="F1669" s="31"/>
      <c r="G1669" s="31"/>
      <c r="H1669" s="31"/>
      <c r="I1669" s="31"/>
      <c r="J1669" s="31"/>
      <c r="K1669" s="31"/>
      <c r="L1669" s="31"/>
      <c r="M1669" s="31"/>
      <c r="N1669" s="33"/>
      <c r="O1669" s="31"/>
    </row>
    <row r="1670" spans="1:15" ht="15" customHeight="1">
      <c r="A1670" s="31"/>
      <c r="B1670" s="31"/>
      <c r="C1670" s="32"/>
      <c r="D1670" s="31"/>
      <c r="E1670" s="31"/>
      <c r="F1670" s="31"/>
      <c r="G1670" s="31"/>
      <c r="H1670" s="31"/>
      <c r="I1670" s="31"/>
      <c r="J1670" s="31"/>
      <c r="K1670" s="31"/>
      <c r="L1670" s="31"/>
      <c r="M1670" s="31"/>
      <c r="N1670" s="33"/>
      <c r="O1670" s="31"/>
    </row>
    <row r="1671" spans="1:15" ht="15" customHeight="1">
      <c r="A1671" s="31"/>
      <c r="B1671" s="31"/>
      <c r="C1671" s="32"/>
      <c r="D1671" s="31"/>
      <c r="E1671" s="31"/>
      <c r="F1671" s="31"/>
      <c r="G1671" s="31"/>
      <c r="H1671" s="31"/>
      <c r="I1671" s="31"/>
      <c r="J1671" s="31"/>
      <c r="K1671" s="31"/>
      <c r="L1671" s="31"/>
      <c r="M1671" s="31"/>
      <c r="N1671" s="33"/>
      <c r="O1671" s="31"/>
    </row>
    <row r="1672" spans="1:15" ht="15" customHeight="1">
      <c r="A1672" s="31"/>
      <c r="B1672" s="31"/>
      <c r="C1672" s="32"/>
      <c r="D1672" s="31"/>
      <c r="E1672" s="31"/>
      <c r="F1672" s="31"/>
      <c r="G1672" s="31"/>
      <c r="H1672" s="31"/>
      <c r="I1672" s="31"/>
      <c r="J1672" s="31"/>
      <c r="K1672" s="31"/>
      <c r="L1672" s="31"/>
      <c r="M1672" s="31"/>
      <c r="N1672" s="33"/>
      <c r="O1672" s="31"/>
    </row>
    <row r="1673" spans="1:15" ht="15" customHeight="1">
      <c r="A1673" s="31"/>
      <c r="B1673" s="31"/>
      <c r="C1673" s="32"/>
      <c r="D1673" s="31"/>
      <c r="E1673" s="31"/>
      <c r="F1673" s="31"/>
      <c r="G1673" s="31"/>
      <c r="H1673" s="31"/>
      <c r="I1673" s="31"/>
      <c r="J1673" s="31"/>
      <c r="K1673" s="31"/>
      <c r="L1673" s="31"/>
      <c r="M1673" s="31"/>
      <c r="N1673" s="33"/>
      <c r="O1673" s="31"/>
    </row>
    <row r="1674" spans="1:15" ht="15" customHeight="1">
      <c r="A1674" s="31"/>
      <c r="B1674" s="31"/>
      <c r="C1674" s="32"/>
      <c r="D1674" s="31"/>
      <c r="E1674" s="31"/>
      <c r="F1674" s="31"/>
      <c r="G1674" s="31"/>
      <c r="H1674" s="31"/>
      <c r="I1674" s="31"/>
      <c r="J1674" s="31"/>
      <c r="K1674" s="31"/>
      <c r="L1674" s="31"/>
      <c r="M1674" s="31"/>
      <c r="N1674" s="33"/>
      <c r="O1674" s="31"/>
    </row>
    <row r="1675" spans="1:15" ht="15" customHeight="1">
      <c r="A1675" s="31"/>
      <c r="B1675" s="31"/>
      <c r="C1675" s="32"/>
      <c r="D1675" s="31"/>
      <c r="E1675" s="31"/>
      <c r="F1675" s="31"/>
      <c r="G1675" s="31"/>
      <c r="H1675" s="31"/>
      <c r="I1675" s="31"/>
      <c r="J1675" s="31"/>
      <c r="K1675" s="31"/>
      <c r="L1675" s="31"/>
      <c r="M1675" s="31"/>
      <c r="N1675" s="33"/>
      <c r="O1675" s="31"/>
    </row>
    <row r="1676" spans="1:15" ht="15" customHeight="1">
      <c r="A1676" s="31"/>
      <c r="B1676" s="31"/>
      <c r="C1676" s="32"/>
      <c r="D1676" s="31"/>
      <c r="E1676" s="31"/>
      <c r="F1676" s="31"/>
      <c r="G1676" s="31"/>
      <c r="H1676" s="31"/>
      <c r="I1676" s="31"/>
      <c r="J1676" s="31"/>
      <c r="K1676" s="31"/>
      <c r="L1676" s="31"/>
      <c r="M1676" s="31"/>
      <c r="N1676" s="33"/>
      <c r="O1676" s="31"/>
    </row>
    <row r="1677" spans="1:15" ht="15" customHeight="1">
      <c r="A1677" s="31"/>
      <c r="B1677" s="31"/>
      <c r="C1677" s="32"/>
      <c r="D1677" s="31"/>
      <c r="E1677" s="31"/>
      <c r="F1677" s="31"/>
      <c r="G1677" s="31"/>
      <c r="H1677" s="31"/>
      <c r="I1677" s="31"/>
      <c r="J1677" s="31"/>
      <c r="K1677" s="31"/>
      <c r="L1677" s="31"/>
      <c r="M1677" s="31"/>
      <c r="N1677" s="33"/>
      <c r="O1677" s="31"/>
    </row>
    <row r="1678" spans="1:15" ht="15" customHeight="1">
      <c r="A1678" s="31"/>
      <c r="B1678" s="31"/>
      <c r="C1678" s="32"/>
      <c r="D1678" s="31"/>
      <c r="E1678" s="31"/>
      <c r="F1678" s="31"/>
      <c r="G1678" s="31"/>
      <c r="H1678" s="31"/>
      <c r="I1678" s="31"/>
      <c r="J1678" s="31"/>
      <c r="K1678" s="31"/>
      <c r="L1678" s="31"/>
      <c r="M1678" s="31"/>
      <c r="N1678" s="33"/>
      <c r="O1678" s="31"/>
    </row>
    <row r="1679" spans="1:15" ht="15" customHeight="1">
      <c r="A1679" s="31"/>
      <c r="B1679" s="31"/>
      <c r="C1679" s="32"/>
      <c r="D1679" s="31"/>
      <c r="E1679" s="31"/>
      <c r="F1679" s="31"/>
      <c r="G1679" s="31"/>
      <c r="H1679" s="31"/>
      <c r="I1679" s="31"/>
      <c r="J1679" s="31"/>
      <c r="K1679" s="31"/>
      <c r="L1679" s="31"/>
      <c r="M1679" s="31"/>
      <c r="N1679" s="33"/>
      <c r="O1679" s="31"/>
    </row>
    <row r="1680" spans="1:15" ht="15" customHeight="1">
      <c r="A1680" s="31"/>
      <c r="B1680" s="31"/>
      <c r="C1680" s="32"/>
      <c r="D1680" s="31"/>
      <c r="E1680" s="31"/>
      <c r="F1680" s="31"/>
      <c r="G1680" s="31"/>
      <c r="H1680" s="31"/>
      <c r="I1680" s="31"/>
      <c r="J1680" s="31"/>
      <c r="K1680" s="31"/>
      <c r="L1680" s="31"/>
      <c r="M1680" s="31"/>
      <c r="N1680" s="33"/>
      <c r="O1680" s="31"/>
    </row>
    <row r="1681" spans="1:15" ht="15" customHeight="1">
      <c r="A1681" s="31"/>
      <c r="B1681" s="31"/>
      <c r="C1681" s="32"/>
      <c r="D1681" s="31"/>
      <c r="E1681" s="31"/>
      <c r="F1681" s="31"/>
      <c r="G1681" s="31"/>
      <c r="H1681" s="31"/>
      <c r="I1681" s="31"/>
      <c r="J1681" s="31"/>
      <c r="K1681" s="31"/>
      <c r="L1681" s="31"/>
      <c r="M1681" s="31"/>
      <c r="N1681" s="33"/>
      <c r="O1681" s="31"/>
    </row>
    <row r="1682" spans="1:15" ht="15" customHeight="1">
      <c r="A1682" s="31"/>
      <c r="B1682" s="31"/>
      <c r="C1682" s="32"/>
      <c r="D1682" s="31"/>
      <c r="E1682" s="31"/>
      <c r="F1682" s="31"/>
      <c r="G1682" s="31"/>
      <c r="H1682" s="31"/>
      <c r="I1682" s="31"/>
      <c r="J1682" s="31"/>
      <c r="K1682" s="31"/>
      <c r="L1682" s="31"/>
      <c r="M1682" s="31"/>
      <c r="N1682" s="33"/>
      <c r="O1682" s="31"/>
    </row>
    <row r="1683" spans="1:15" ht="15" customHeight="1">
      <c r="A1683" s="31"/>
      <c r="B1683" s="31"/>
      <c r="C1683" s="32"/>
      <c r="D1683" s="31"/>
      <c r="E1683" s="31"/>
      <c r="F1683" s="31"/>
      <c r="G1683" s="31"/>
      <c r="H1683" s="31"/>
      <c r="I1683" s="31"/>
      <c r="J1683" s="31"/>
      <c r="K1683" s="31"/>
      <c r="L1683" s="31"/>
      <c r="M1683" s="31"/>
      <c r="N1683" s="33"/>
      <c r="O1683" s="31"/>
    </row>
    <row r="1684" spans="1:15" ht="15" customHeight="1">
      <c r="A1684" s="31"/>
      <c r="B1684" s="31"/>
      <c r="C1684" s="32"/>
      <c r="D1684" s="31"/>
      <c r="E1684" s="31"/>
      <c r="F1684" s="31"/>
      <c r="G1684" s="31"/>
      <c r="H1684" s="31"/>
      <c r="I1684" s="31"/>
      <c r="J1684" s="31"/>
      <c r="K1684" s="31"/>
      <c r="L1684" s="31"/>
      <c r="M1684" s="31"/>
      <c r="N1684" s="33"/>
      <c r="O1684" s="31"/>
    </row>
    <row r="1685" spans="1:15" ht="15" customHeight="1">
      <c r="A1685" s="31"/>
      <c r="B1685" s="31"/>
      <c r="C1685" s="32"/>
      <c r="D1685" s="31"/>
      <c r="E1685" s="31"/>
      <c r="F1685" s="31"/>
      <c r="G1685" s="31"/>
      <c r="H1685" s="31"/>
      <c r="I1685" s="31"/>
      <c r="J1685" s="31"/>
      <c r="K1685" s="31"/>
      <c r="L1685" s="31"/>
      <c r="M1685" s="31"/>
      <c r="N1685" s="33"/>
      <c r="O1685" s="31"/>
    </row>
    <row r="1686" spans="1:15" ht="15" customHeight="1">
      <c r="A1686" s="31"/>
      <c r="B1686" s="31"/>
      <c r="C1686" s="32"/>
      <c r="D1686" s="31"/>
      <c r="E1686" s="31"/>
      <c r="F1686" s="31"/>
      <c r="G1686" s="31"/>
      <c r="H1686" s="31"/>
      <c r="I1686" s="31"/>
      <c r="J1686" s="31"/>
      <c r="K1686" s="31"/>
      <c r="L1686" s="31"/>
      <c r="M1686" s="31"/>
      <c r="N1686" s="33"/>
      <c r="O1686" s="31"/>
    </row>
    <row r="1687" spans="1:15" ht="15" customHeight="1">
      <c r="A1687" s="31"/>
      <c r="B1687" s="31"/>
      <c r="C1687" s="32"/>
      <c r="D1687" s="31"/>
      <c r="E1687" s="31"/>
      <c r="F1687" s="31"/>
      <c r="G1687" s="31"/>
      <c r="H1687" s="31"/>
      <c r="I1687" s="31"/>
      <c r="J1687" s="31"/>
      <c r="K1687" s="31"/>
      <c r="L1687" s="31"/>
      <c r="M1687" s="31"/>
      <c r="N1687" s="33"/>
      <c r="O1687" s="31"/>
    </row>
    <row r="1688" spans="1:15" ht="15" customHeight="1">
      <c r="A1688" s="31"/>
      <c r="B1688" s="31"/>
      <c r="C1688" s="32"/>
      <c r="D1688" s="31"/>
      <c r="E1688" s="31"/>
      <c r="F1688" s="31"/>
      <c r="G1688" s="31"/>
      <c r="H1688" s="31"/>
      <c r="I1688" s="31"/>
      <c r="J1688" s="31"/>
      <c r="K1688" s="31"/>
      <c r="L1688" s="31"/>
      <c r="M1688" s="31"/>
      <c r="N1688" s="33"/>
      <c r="O1688" s="31"/>
    </row>
    <row r="1689" spans="1:15" ht="15" customHeight="1">
      <c r="A1689" s="31"/>
      <c r="B1689" s="31"/>
      <c r="C1689" s="32"/>
      <c r="D1689" s="31"/>
      <c r="E1689" s="31"/>
      <c r="F1689" s="31"/>
      <c r="G1689" s="31"/>
      <c r="H1689" s="31"/>
      <c r="I1689" s="31"/>
      <c r="J1689" s="31"/>
      <c r="K1689" s="31"/>
      <c r="L1689" s="31"/>
      <c r="M1689" s="31"/>
      <c r="N1689" s="33"/>
      <c r="O1689" s="31"/>
    </row>
    <row r="1690" spans="1:15" ht="15" customHeight="1">
      <c r="A1690" s="31"/>
      <c r="B1690" s="31"/>
      <c r="C1690" s="32"/>
      <c r="D1690" s="31"/>
      <c r="E1690" s="31"/>
      <c r="F1690" s="31"/>
      <c r="G1690" s="31"/>
      <c r="H1690" s="31"/>
      <c r="I1690" s="31"/>
      <c r="J1690" s="31"/>
      <c r="K1690" s="31"/>
      <c r="L1690" s="31"/>
      <c r="M1690" s="31"/>
      <c r="N1690" s="33"/>
      <c r="O1690" s="31"/>
    </row>
    <row r="1691" spans="1:15" ht="15" customHeight="1">
      <c r="A1691" s="31"/>
      <c r="B1691" s="31"/>
      <c r="C1691" s="32"/>
      <c r="D1691" s="31"/>
      <c r="E1691" s="31"/>
      <c r="F1691" s="31"/>
      <c r="G1691" s="31"/>
      <c r="H1691" s="31"/>
      <c r="I1691" s="31"/>
      <c r="J1691" s="31"/>
      <c r="K1691" s="31"/>
      <c r="L1691" s="31"/>
      <c r="M1691" s="31"/>
      <c r="N1691" s="33"/>
      <c r="O1691" s="31"/>
    </row>
    <row r="1692" spans="1:15" ht="15" customHeight="1">
      <c r="A1692" s="31"/>
      <c r="B1692" s="31"/>
      <c r="C1692" s="32"/>
      <c r="D1692" s="31"/>
      <c r="E1692" s="31"/>
      <c r="F1692" s="31"/>
      <c r="G1692" s="31"/>
      <c r="H1692" s="31"/>
      <c r="I1692" s="31"/>
      <c r="J1692" s="31"/>
      <c r="K1692" s="31"/>
      <c r="L1692" s="31"/>
      <c r="M1692" s="31"/>
      <c r="N1692" s="33"/>
      <c r="O1692" s="31"/>
    </row>
    <row r="1693" spans="1:15" ht="15" customHeight="1">
      <c r="A1693" s="31"/>
      <c r="B1693" s="31"/>
      <c r="C1693" s="32"/>
      <c r="D1693" s="31"/>
      <c r="E1693" s="31"/>
      <c r="F1693" s="31"/>
      <c r="G1693" s="31"/>
      <c r="H1693" s="31"/>
      <c r="I1693" s="31"/>
      <c r="J1693" s="31"/>
      <c r="K1693" s="31"/>
      <c r="L1693" s="31"/>
      <c r="M1693" s="31"/>
      <c r="N1693" s="33"/>
      <c r="O1693" s="31"/>
    </row>
    <row r="1694" spans="1:15" ht="15" customHeight="1">
      <c r="A1694" s="31"/>
      <c r="B1694" s="31"/>
      <c r="C1694" s="32"/>
      <c r="D1694" s="31"/>
      <c r="E1694" s="31"/>
      <c r="F1694" s="31"/>
      <c r="G1694" s="31"/>
      <c r="H1694" s="31"/>
      <c r="I1694" s="31"/>
      <c r="J1694" s="31"/>
      <c r="K1694" s="31"/>
      <c r="L1694" s="31"/>
      <c r="M1694" s="31"/>
      <c r="N1694" s="33"/>
      <c r="O1694" s="31"/>
    </row>
    <row r="1695" spans="1:15" ht="15" customHeight="1">
      <c r="A1695" s="31"/>
      <c r="B1695" s="31"/>
      <c r="C1695" s="32"/>
      <c r="D1695" s="31"/>
      <c r="E1695" s="31"/>
      <c r="F1695" s="31"/>
      <c r="G1695" s="31"/>
      <c r="H1695" s="31"/>
      <c r="I1695" s="31"/>
      <c r="J1695" s="31"/>
      <c r="K1695" s="31"/>
      <c r="L1695" s="31"/>
      <c r="M1695" s="31"/>
      <c r="N1695" s="33"/>
      <c r="O1695" s="31"/>
    </row>
    <row r="1696" spans="1:15" ht="15" customHeight="1">
      <c r="A1696" s="31"/>
      <c r="B1696" s="31"/>
      <c r="C1696" s="32"/>
      <c r="D1696" s="31"/>
      <c r="E1696" s="31"/>
      <c r="F1696" s="31"/>
      <c r="G1696" s="31"/>
      <c r="H1696" s="31"/>
      <c r="I1696" s="31"/>
      <c r="J1696" s="31"/>
      <c r="K1696" s="31"/>
      <c r="L1696" s="31"/>
      <c r="M1696" s="31"/>
      <c r="N1696" s="33"/>
      <c r="O1696" s="31"/>
    </row>
    <row r="1697" spans="1:15" ht="15" customHeight="1">
      <c r="A1697" s="31"/>
      <c r="B1697" s="31"/>
      <c r="C1697" s="32"/>
      <c r="D1697" s="31"/>
      <c r="E1697" s="31"/>
      <c r="F1697" s="31"/>
      <c r="G1697" s="31"/>
      <c r="H1697" s="31"/>
      <c r="I1697" s="31"/>
      <c r="J1697" s="31"/>
      <c r="K1697" s="31"/>
      <c r="L1697" s="31"/>
      <c r="M1697" s="31"/>
      <c r="N1697" s="33"/>
      <c r="O1697" s="31"/>
    </row>
    <row r="1698" spans="1:15" ht="15" customHeight="1">
      <c r="A1698" s="31"/>
      <c r="B1698" s="31"/>
      <c r="C1698" s="32"/>
      <c r="D1698" s="31"/>
      <c r="E1698" s="31"/>
      <c r="F1698" s="31"/>
      <c r="G1698" s="31"/>
      <c r="H1698" s="31"/>
      <c r="I1698" s="31"/>
      <c r="J1698" s="31"/>
      <c r="K1698" s="31"/>
      <c r="L1698" s="31"/>
      <c r="M1698" s="31"/>
      <c r="N1698" s="33"/>
      <c r="O1698" s="31"/>
    </row>
    <row r="1699" spans="1:15" ht="15" customHeight="1">
      <c r="A1699" s="31"/>
      <c r="B1699" s="31"/>
      <c r="C1699" s="32"/>
      <c r="D1699" s="31"/>
      <c r="E1699" s="31"/>
      <c r="F1699" s="31"/>
      <c r="G1699" s="31"/>
      <c r="H1699" s="31"/>
      <c r="I1699" s="31"/>
      <c r="J1699" s="31"/>
      <c r="K1699" s="31"/>
      <c r="L1699" s="31"/>
      <c r="M1699" s="31"/>
      <c r="N1699" s="33"/>
      <c r="O1699" s="31"/>
    </row>
  </sheetData>
  <conditionalFormatting sqref="N2:N8 N10:N11">
    <cfRule type="dataBar" priority="5">
      <dataBar>
        <cfvo type="min"/>
        <cfvo type="max"/>
        <color rgb="FFFF555A"/>
      </dataBar>
      <extLst>
        <ext xmlns:x14="http://schemas.microsoft.com/office/spreadsheetml/2009/9/main" uri="{B025F937-C7B1-47D3-B67F-A62EFF666E3E}">
          <x14:id>{FB6D3D6C-3DE6-4E02-AC31-FA24C3E0D792}</x14:id>
        </ext>
      </extLst>
    </cfRule>
  </conditionalFormatting>
  <conditionalFormatting sqref="N2:N11">
    <cfRule type="colorScale" priority="3">
      <colorScale>
        <cfvo type="min"/>
        <cfvo type="percentile" val="50"/>
        <cfvo type="max"/>
        <color rgb="FF63BE7B"/>
        <color rgb="FFFFEB84"/>
        <color rgb="FFF8696B"/>
      </colorScale>
    </cfRule>
  </conditionalFormatting>
  <conditionalFormatting sqref="N9">
    <cfRule type="colorScale" priority="1">
      <colorScale>
        <cfvo type="min"/>
        <cfvo type="percentile" val="50"/>
        <cfvo type="max"/>
        <color rgb="FFF8696B"/>
        <color rgb="FFFFEB84"/>
        <color rgb="FF63BE7B"/>
      </colorScale>
    </cfRule>
    <cfRule type="colorScale" priority="2">
      <colorScale>
        <cfvo type="min"/>
        <cfvo type="max"/>
        <color rgb="FFF8696B"/>
        <color rgb="FFFCFCFF"/>
      </colorScale>
    </cfRule>
  </conditionalFormatting>
  <pageMargins left="0.7" right="0.7" top="0.75" bottom="0.75" header="0" footer="0"/>
  <pageSetup orientation="landscape"/>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FB6D3D6C-3DE6-4E02-AC31-FA24C3E0D792}">
            <x14:dataBar minLength="0" maxLength="100" border="1" negativeBarBorderColorSameAsPositive="0">
              <x14:cfvo type="autoMin"/>
              <x14:cfvo type="autoMax"/>
              <x14:borderColor rgb="FFFF555A"/>
              <x14:negativeFillColor rgb="FFFF0000"/>
              <x14:negativeBorderColor rgb="FFFF0000"/>
              <x14:axisColor rgb="FF000000"/>
            </x14:dataBar>
          </x14:cfRule>
          <xm:sqref>N2:N8 N10:N11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356B8-5F57-41B4-A8A6-589DA0858503}">
  <dimension ref="A1:X301"/>
  <sheetViews>
    <sheetView topLeftCell="E1" zoomScale="88" workbookViewId="0">
      <selection activeCell="O4" sqref="O4"/>
    </sheetView>
  </sheetViews>
  <sheetFormatPr defaultRowHeight="14.5"/>
  <cols>
    <col min="1" max="1" width="9.08984375" bestFit="1" customWidth="1"/>
    <col min="2" max="2" width="10.453125" bestFit="1" customWidth="1"/>
    <col min="3" max="3" width="15.26953125" bestFit="1" customWidth="1"/>
    <col min="4" max="4" width="14.36328125" bestFit="1" customWidth="1"/>
    <col min="5" max="5" width="38.6328125" bestFit="1" customWidth="1"/>
    <col min="6" max="6" width="7.1796875" bestFit="1" customWidth="1"/>
    <col min="7" max="7" width="8.6328125" bestFit="1" customWidth="1"/>
    <col min="8" max="8" width="12.1796875" bestFit="1" customWidth="1"/>
    <col min="9" max="9" width="13.1796875" bestFit="1" customWidth="1"/>
    <col min="10" max="10" width="8.08984375" bestFit="1" customWidth="1"/>
    <col min="11" max="11" width="7.7265625" bestFit="1" customWidth="1"/>
    <col min="12" max="13" width="17.36328125" bestFit="1" customWidth="1"/>
    <col min="14" max="14" width="18.6328125" bestFit="1" customWidth="1"/>
    <col min="15" max="15" width="18.1796875" bestFit="1" customWidth="1"/>
    <col min="18" max="18" width="8.7265625" customWidth="1"/>
    <col min="19" max="19" width="21.36328125" bestFit="1" customWidth="1"/>
    <col min="21" max="21" width="13.1796875" bestFit="1" customWidth="1"/>
    <col min="22" max="22" width="25.7265625" bestFit="1" customWidth="1"/>
  </cols>
  <sheetData>
    <row r="1" spans="1:19">
      <c r="A1" t="s">
        <v>0</v>
      </c>
      <c r="B1" t="s">
        <v>1</v>
      </c>
      <c r="C1" t="s">
        <v>2</v>
      </c>
      <c r="D1" t="s">
        <v>3</v>
      </c>
      <c r="E1" t="s">
        <v>4</v>
      </c>
      <c r="F1" t="s">
        <v>5</v>
      </c>
      <c r="G1" t="s">
        <v>6</v>
      </c>
      <c r="H1" t="s">
        <v>7</v>
      </c>
      <c r="I1" t="s">
        <v>8</v>
      </c>
      <c r="J1" t="s">
        <v>9</v>
      </c>
      <c r="K1" t="s">
        <v>10</v>
      </c>
      <c r="L1" t="s">
        <v>11</v>
      </c>
      <c r="M1" s="29" t="s">
        <v>12</v>
      </c>
      <c r="N1" t="s">
        <v>401</v>
      </c>
      <c r="O1" s="49" t="s">
        <v>408</v>
      </c>
    </row>
    <row r="2" spans="1:19">
      <c r="A2" s="30" t="s">
        <v>33</v>
      </c>
      <c r="B2" s="30" t="s">
        <v>23</v>
      </c>
      <c r="C2" s="44">
        <v>45645</v>
      </c>
      <c r="D2" s="30" t="s">
        <v>24</v>
      </c>
      <c r="E2" s="30" t="s">
        <v>34</v>
      </c>
      <c r="F2" s="30">
        <v>4674</v>
      </c>
      <c r="G2" s="30">
        <v>409</v>
      </c>
      <c r="H2" s="30">
        <v>327</v>
      </c>
      <c r="I2" s="30">
        <v>20756</v>
      </c>
      <c r="J2" s="30">
        <v>63599</v>
      </c>
      <c r="K2" s="30">
        <v>212</v>
      </c>
      <c r="L2" s="30" t="s">
        <v>41</v>
      </c>
      <c r="M2" s="30" t="s">
        <v>17</v>
      </c>
      <c r="N2" s="38">
        <f>(Table1_1[[#This Row],[Likes]]+Table1_1[[#This Row],[Shares]]+Table1_1[[#This Row],[Comments]])/Table1_1[[#This Row],[Impressions]]</f>
        <v>0.26064752360763155</v>
      </c>
      <c r="O2" t="str">
        <f>IF(Table1_1[[#This Row],[Date]] &lt; DATE(2025,1,1),"Before","During")</f>
        <v>Before</v>
      </c>
      <c r="P2" s="45"/>
      <c r="Q2" s="47"/>
      <c r="S2" s="48"/>
    </row>
    <row r="3" spans="1:19">
      <c r="A3" s="30" t="s">
        <v>141</v>
      </c>
      <c r="B3" s="30" t="s">
        <v>23</v>
      </c>
      <c r="C3" s="44">
        <v>45677</v>
      </c>
      <c r="D3" s="30" t="s">
        <v>24</v>
      </c>
      <c r="E3" s="30" t="s">
        <v>25</v>
      </c>
      <c r="F3" s="30">
        <v>4619</v>
      </c>
      <c r="G3" s="30">
        <v>272</v>
      </c>
      <c r="H3" s="30">
        <v>57</v>
      </c>
      <c r="I3" s="30">
        <v>21334</v>
      </c>
      <c r="J3" s="30">
        <v>46292</v>
      </c>
      <c r="K3" s="30">
        <v>91</v>
      </c>
      <c r="L3" s="30" t="s">
        <v>41</v>
      </c>
      <c r="M3" s="30" t="s">
        <v>17</v>
      </c>
      <c r="N3" s="39">
        <f>(Table1_1[[#This Row],[Likes]]+Table1_1[[#This Row],[Shares]]+Table1_1[[#This Row],[Comments]])/Table1_1[[#This Row],[Impressions]]</f>
        <v>0.23193025217961938</v>
      </c>
      <c r="O3" t="str">
        <f>IF(Table1_1[[#This Row],[Date]] &lt; DATE(2025,1,1),"Before","During")</f>
        <v>During</v>
      </c>
    </row>
    <row r="4" spans="1:19">
      <c r="A4" s="30" t="s">
        <v>221</v>
      </c>
      <c r="B4" s="30" t="s">
        <v>23</v>
      </c>
      <c r="C4" s="44">
        <v>45459</v>
      </c>
      <c r="D4" s="30" t="s">
        <v>24</v>
      </c>
      <c r="E4" s="30" t="s">
        <v>19</v>
      </c>
      <c r="F4" s="30">
        <v>4618</v>
      </c>
      <c r="G4" s="30">
        <v>312</v>
      </c>
      <c r="H4" s="30">
        <v>254</v>
      </c>
      <c r="I4" s="30">
        <v>22571</v>
      </c>
      <c r="J4" s="30">
        <v>29453</v>
      </c>
      <c r="K4" s="30">
        <v>197</v>
      </c>
      <c r="L4" s="30" t="s">
        <v>368</v>
      </c>
      <c r="M4" s="30" t="s">
        <v>17</v>
      </c>
      <c r="N4" s="39">
        <f>(Table1_1[[#This Row],[Likes]]+Table1_1[[#This Row],[Shares]]+Table1_1[[#This Row],[Comments]])/Table1_1[[#This Row],[Impressions]]</f>
        <v>0.22967524699836073</v>
      </c>
      <c r="O4" t="str">
        <f>IF(Table1_1[[#This Row],[Date]] &lt; DATE(2025,1,1),"Before","During")</f>
        <v>Before</v>
      </c>
    </row>
    <row r="5" spans="1:19">
      <c r="A5" s="30" t="s">
        <v>314</v>
      </c>
      <c r="B5" s="30" t="s">
        <v>23</v>
      </c>
      <c r="C5" s="44">
        <v>45676</v>
      </c>
      <c r="D5" s="30" t="s">
        <v>24</v>
      </c>
      <c r="E5" s="30" t="s">
        <v>25</v>
      </c>
      <c r="F5" s="30">
        <v>3507</v>
      </c>
      <c r="G5" s="30">
        <v>295</v>
      </c>
      <c r="H5" s="30">
        <v>371</v>
      </c>
      <c r="I5" s="30">
        <v>20410</v>
      </c>
      <c r="J5" s="30">
        <v>53965</v>
      </c>
      <c r="K5" s="30">
        <v>212</v>
      </c>
      <c r="L5" s="30" t="s">
        <v>41</v>
      </c>
      <c r="M5" s="30" t="s">
        <v>17</v>
      </c>
      <c r="N5" s="39">
        <f>(Table1_1[[#This Row],[Likes]]+Table1_1[[#This Row],[Shares]]+Table1_1[[#This Row],[Comments]])/Table1_1[[#This Row],[Impressions]]</f>
        <v>0.20445859872611466</v>
      </c>
      <c r="O5" t="str">
        <f>IF(Table1_1[[#This Row],[Date]] &lt; DATE(2025,1,1),"Before","During")</f>
        <v>During</v>
      </c>
    </row>
    <row r="6" spans="1:19">
      <c r="A6" s="30" t="s">
        <v>85</v>
      </c>
      <c r="B6" s="30" t="s">
        <v>23</v>
      </c>
      <c r="C6" s="44">
        <v>45769</v>
      </c>
      <c r="D6" s="30" t="s">
        <v>15</v>
      </c>
      <c r="E6" s="30" t="s">
        <v>16</v>
      </c>
      <c r="F6" s="30">
        <v>4401</v>
      </c>
      <c r="G6" s="30">
        <v>421</v>
      </c>
      <c r="H6" s="30">
        <v>216</v>
      </c>
      <c r="I6" s="30">
        <v>24890</v>
      </c>
      <c r="J6" s="30">
        <v>54361</v>
      </c>
      <c r="K6" s="30">
        <v>148</v>
      </c>
      <c r="L6" s="30" t="s">
        <v>38</v>
      </c>
      <c r="M6" s="30" t="s">
        <v>17</v>
      </c>
      <c r="N6" s="39">
        <f>(Table1_1[[#This Row],[Likes]]+Table1_1[[#This Row],[Shares]]+Table1_1[[#This Row],[Comments]])/Table1_1[[#This Row],[Impressions]]</f>
        <v>0.20241060666934513</v>
      </c>
      <c r="O6" t="str">
        <f>IF(Table1_1[[#This Row],[Date]] &lt; DATE(2025,1,1),"Before","During")</f>
        <v>During</v>
      </c>
    </row>
    <row r="7" spans="1:19">
      <c r="A7" s="30" t="s">
        <v>57</v>
      </c>
      <c r="B7" s="30" t="s">
        <v>14</v>
      </c>
      <c r="C7" s="44">
        <v>45823</v>
      </c>
      <c r="D7" s="30" t="s">
        <v>15</v>
      </c>
      <c r="E7" s="30" t="s">
        <v>32</v>
      </c>
      <c r="F7" s="30">
        <v>4896</v>
      </c>
      <c r="G7" s="30">
        <v>466</v>
      </c>
      <c r="H7" s="30">
        <v>233</v>
      </c>
      <c r="I7" s="30">
        <v>28621</v>
      </c>
      <c r="J7" s="30">
        <v>34270</v>
      </c>
      <c r="K7" s="30">
        <v>84</v>
      </c>
      <c r="L7" s="30" t="s">
        <v>41</v>
      </c>
      <c r="M7" s="30" t="s">
        <v>17</v>
      </c>
      <c r="N7" s="39">
        <f>(Table1_1[[#This Row],[Likes]]+Table1_1[[#This Row],[Shares]]+Table1_1[[#This Row],[Comments]])/Table1_1[[#This Row],[Impressions]]</f>
        <v>0.19548583208133888</v>
      </c>
      <c r="O7" t="str">
        <f>IF(Table1_1[[#This Row],[Date]] &lt; DATE(2025,1,1),"Before","During")</f>
        <v>During</v>
      </c>
    </row>
    <row r="8" spans="1:19">
      <c r="A8" s="30" t="s">
        <v>192</v>
      </c>
      <c r="B8" s="30" t="s">
        <v>29</v>
      </c>
      <c r="C8" s="44">
        <v>45718</v>
      </c>
      <c r="D8" s="30" t="s">
        <v>15</v>
      </c>
      <c r="E8" s="30" t="s">
        <v>45</v>
      </c>
      <c r="F8" s="30">
        <v>4425</v>
      </c>
      <c r="G8" s="30">
        <v>185</v>
      </c>
      <c r="H8" s="30">
        <v>162</v>
      </c>
      <c r="I8" s="30">
        <v>24610</v>
      </c>
      <c r="J8" s="30">
        <v>21342</v>
      </c>
      <c r="K8" s="30">
        <v>158</v>
      </c>
      <c r="L8" s="30" t="s">
        <v>20</v>
      </c>
      <c r="M8" s="30" t="s">
        <v>21</v>
      </c>
      <c r="N8" s="39">
        <f>(Table1_1[[#This Row],[Likes]]+Table1_1[[#This Row],[Shares]]+Table1_1[[#This Row],[Comments]])/Table1_1[[#This Row],[Impressions]]</f>
        <v>0.19390491670052823</v>
      </c>
      <c r="O8" t="str">
        <f>IF(Table1_1[[#This Row],[Date]] &lt; DATE(2025,1,1),"Before","During")</f>
        <v>During</v>
      </c>
    </row>
    <row r="9" spans="1:19">
      <c r="A9" s="30" t="s">
        <v>283</v>
      </c>
      <c r="B9" s="30" t="s">
        <v>29</v>
      </c>
      <c r="C9" s="44">
        <v>45457</v>
      </c>
      <c r="D9" s="30" t="s">
        <v>53</v>
      </c>
      <c r="E9" s="30" t="s">
        <v>27</v>
      </c>
      <c r="F9" s="30">
        <v>4722</v>
      </c>
      <c r="G9" s="30">
        <v>310</v>
      </c>
      <c r="H9" s="30">
        <v>344</v>
      </c>
      <c r="I9" s="30">
        <v>27911</v>
      </c>
      <c r="J9" s="30">
        <v>19000</v>
      </c>
      <c r="K9" s="30">
        <v>225</v>
      </c>
      <c r="L9" s="30" t="s">
        <v>20</v>
      </c>
      <c r="M9" s="30" t="s">
        <v>54</v>
      </c>
      <c r="N9" s="39">
        <f>(Table1_1[[#This Row],[Likes]]+Table1_1[[#This Row],[Shares]]+Table1_1[[#This Row],[Comments]])/Table1_1[[#This Row],[Impressions]]</f>
        <v>0.19261223173659131</v>
      </c>
      <c r="O9" t="str">
        <f>IF(Table1_1[[#This Row],[Date]] &lt; DATE(2025,1,1),"Before","During")</f>
        <v>Before</v>
      </c>
    </row>
    <row r="10" spans="1:19">
      <c r="A10" s="30" t="s">
        <v>171</v>
      </c>
      <c r="B10" s="30" t="s">
        <v>23</v>
      </c>
      <c r="C10" s="44">
        <v>45615</v>
      </c>
      <c r="D10" s="30" t="s">
        <v>15</v>
      </c>
      <c r="E10" s="30" t="s">
        <v>37</v>
      </c>
      <c r="F10" s="30">
        <v>3728</v>
      </c>
      <c r="G10" s="30">
        <v>271</v>
      </c>
      <c r="H10" s="30">
        <v>275</v>
      </c>
      <c r="I10" s="30">
        <v>22827</v>
      </c>
      <c r="J10" s="30">
        <v>37034</v>
      </c>
      <c r="K10" s="30">
        <v>199</v>
      </c>
      <c r="L10" s="30" t="s">
        <v>38</v>
      </c>
      <c r="M10" s="30" t="s">
        <v>17</v>
      </c>
      <c r="N10" s="39">
        <f>(Table1_1[[#This Row],[Likes]]+Table1_1[[#This Row],[Shares]]+Table1_1[[#This Row],[Comments]])/Table1_1[[#This Row],[Impressions]]</f>
        <v>0.18723441538528934</v>
      </c>
      <c r="O10" t="str">
        <f>IF(Table1_1[[#This Row],[Date]] &lt; DATE(2025,1,1),"Before","During")</f>
        <v>Before</v>
      </c>
    </row>
    <row r="11" spans="1:19">
      <c r="A11" s="30" t="s">
        <v>103</v>
      </c>
      <c r="B11" s="30" t="s">
        <v>23</v>
      </c>
      <c r="C11" s="44">
        <v>45379</v>
      </c>
      <c r="D11" s="30" t="s">
        <v>15</v>
      </c>
      <c r="E11" s="30" t="s">
        <v>30</v>
      </c>
      <c r="F11" s="30">
        <v>3276</v>
      </c>
      <c r="G11" s="30">
        <v>421</v>
      </c>
      <c r="H11" s="30">
        <v>114</v>
      </c>
      <c r="I11" s="30">
        <v>20580</v>
      </c>
      <c r="J11" s="30">
        <v>30324</v>
      </c>
      <c r="K11" s="30">
        <v>221</v>
      </c>
      <c r="L11" s="30" t="s">
        <v>41</v>
      </c>
      <c r="M11" s="30" t="s">
        <v>21</v>
      </c>
      <c r="N11" s="39">
        <f>(Table1_1[[#This Row],[Likes]]+Table1_1[[#This Row],[Shares]]+Table1_1[[#This Row],[Comments]])/Table1_1[[#This Row],[Impressions]]</f>
        <v>0.18517978620019437</v>
      </c>
      <c r="O11" t="str">
        <f>IF(Table1_1[[#This Row],[Date]] &lt; DATE(2025,1,1),"Before","During")</f>
        <v>Before</v>
      </c>
    </row>
    <row r="12" spans="1:19">
      <c r="A12" s="30" t="s">
        <v>123</v>
      </c>
      <c r="B12" s="30" t="s">
        <v>23</v>
      </c>
      <c r="C12" s="44">
        <v>45705</v>
      </c>
      <c r="D12" s="30" t="s">
        <v>24</v>
      </c>
      <c r="E12" s="30" t="s">
        <v>32</v>
      </c>
      <c r="F12" s="30">
        <v>4796</v>
      </c>
      <c r="G12" s="30">
        <v>427</v>
      </c>
      <c r="H12" s="30">
        <v>339</v>
      </c>
      <c r="I12" s="30">
        <v>30752</v>
      </c>
      <c r="J12" s="30">
        <v>33870</v>
      </c>
      <c r="K12" s="30">
        <v>298</v>
      </c>
      <c r="L12" s="30" t="s">
        <v>41</v>
      </c>
      <c r="M12" s="30" t="s">
        <v>17</v>
      </c>
      <c r="N12" s="39">
        <f>(Table1_1[[#This Row],[Likes]]+Table1_1[[#This Row],[Shares]]+Table1_1[[#This Row],[Comments]])/Table1_1[[#This Row],[Impressions]]</f>
        <v>0.18086628511966701</v>
      </c>
      <c r="O12" t="str">
        <f>IF(Table1_1[[#This Row],[Date]] &lt; DATE(2025,1,1),"Before","During")</f>
        <v>During</v>
      </c>
    </row>
    <row r="13" spans="1:19">
      <c r="A13" s="30" t="s">
        <v>248</v>
      </c>
      <c r="B13" s="30" t="s">
        <v>14</v>
      </c>
      <c r="C13" s="44">
        <v>45832</v>
      </c>
      <c r="D13" s="30" t="s">
        <v>24</v>
      </c>
      <c r="E13" s="30" t="s">
        <v>34</v>
      </c>
      <c r="F13" s="30">
        <v>4902</v>
      </c>
      <c r="G13" s="30">
        <v>422</v>
      </c>
      <c r="H13" s="30">
        <v>376</v>
      </c>
      <c r="I13" s="30">
        <v>31674</v>
      </c>
      <c r="J13" s="30">
        <v>53225</v>
      </c>
      <c r="K13" s="30">
        <v>147</v>
      </c>
      <c r="L13" s="30" t="s">
        <v>38</v>
      </c>
      <c r="M13" s="30" t="s">
        <v>51</v>
      </c>
      <c r="N13" s="39">
        <f>(Table1_1[[#This Row],[Likes]]+Table1_1[[#This Row],[Shares]]+Table1_1[[#This Row],[Comments]])/Table1_1[[#This Row],[Impressions]]</f>
        <v>0.17995832544042431</v>
      </c>
      <c r="O13" t="str">
        <f>IF(Table1_1[[#This Row],[Date]] &lt; DATE(2025,1,1),"Before","During")</f>
        <v>During</v>
      </c>
    </row>
    <row r="14" spans="1:19">
      <c r="A14" s="30" t="s">
        <v>285</v>
      </c>
      <c r="B14" s="30" t="s">
        <v>23</v>
      </c>
      <c r="C14" s="44">
        <v>45792</v>
      </c>
      <c r="D14" s="30" t="s">
        <v>15</v>
      </c>
      <c r="E14" s="30" t="s">
        <v>47</v>
      </c>
      <c r="F14" s="30">
        <v>4782</v>
      </c>
      <c r="G14" s="30">
        <v>210</v>
      </c>
      <c r="H14" s="30">
        <v>311</v>
      </c>
      <c r="I14" s="30">
        <v>29793</v>
      </c>
      <c r="J14" s="30">
        <v>37543</v>
      </c>
      <c r="K14" s="30">
        <v>145</v>
      </c>
      <c r="L14" s="30" t="s">
        <v>38</v>
      </c>
      <c r="M14" s="30" t="s">
        <v>17</v>
      </c>
      <c r="N14" s="39">
        <f>(Table1_1[[#This Row],[Likes]]+Table1_1[[#This Row],[Shares]]+Table1_1[[#This Row],[Comments]])/Table1_1[[#This Row],[Impressions]]</f>
        <v>0.17799483100057059</v>
      </c>
      <c r="O14" t="str">
        <f>IF(Table1_1[[#This Row],[Date]] &lt; DATE(2025,1,1),"Before","During")</f>
        <v>During</v>
      </c>
    </row>
    <row r="15" spans="1:19">
      <c r="A15" s="30" t="s">
        <v>102</v>
      </c>
      <c r="B15" s="30" t="s">
        <v>29</v>
      </c>
      <c r="C15" s="44">
        <v>45384</v>
      </c>
      <c r="D15" s="30" t="s">
        <v>53</v>
      </c>
      <c r="E15" s="30" t="s">
        <v>47</v>
      </c>
      <c r="F15" s="30">
        <v>4563</v>
      </c>
      <c r="G15" s="30">
        <v>488</v>
      </c>
      <c r="H15" s="30">
        <v>356</v>
      </c>
      <c r="I15" s="30">
        <v>30619</v>
      </c>
      <c r="J15" s="30">
        <v>23328</v>
      </c>
      <c r="K15" s="30">
        <v>267</v>
      </c>
      <c r="L15" s="30" t="s">
        <v>20</v>
      </c>
      <c r="M15" s="30" t="s">
        <v>54</v>
      </c>
      <c r="N15" s="39">
        <f>(Table1_1[[#This Row],[Likes]]+Table1_1[[#This Row],[Shares]]+Table1_1[[#This Row],[Comments]])/Table1_1[[#This Row],[Impressions]]</f>
        <v>0.17658969920637513</v>
      </c>
      <c r="O15" t="str">
        <f>IF(Table1_1[[#This Row],[Date]] &lt; DATE(2025,1,1),"Before","During")</f>
        <v>Before</v>
      </c>
    </row>
    <row r="16" spans="1:19">
      <c r="A16" s="30" t="s">
        <v>125</v>
      </c>
      <c r="B16" s="30" t="s">
        <v>23</v>
      </c>
      <c r="C16" s="44">
        <v>45495</v>
      </c>
      <c r="D16" s="30" t="s">
        <v>24</v>
      </c>
      <c r="E16" s="30" t="s">
        <v>27</v>
      </c>
      <c r="F16" s="30">
        <v>3336</v>
      </c>
      <c r="G16" s="30">
        <v>229</v>
      </c>
      <c r="H16" s="30">
        <v>337</v>
      </c>
      <c r="I16" s="30">
        <v>22117</v>
      </c>
      <c r="J16" s="30">
        <v>26205</v>
      </c>
      <c r="K16" s="30">
        <v>160</v>
      </c>
      <c r="L16" s="30" t="s">
        <v>368</v>
      </c>
      <c r="M16" s="30" t="s">
        <v>17</v>
      </c>
      <c r="N16" s="39">
        <f>(Table1_1[[#This Row],[Likes]]+Table1_1[[#This Row],[Shares]]+Table1_1[[#This Row],[Comments]])/Table1_1[[#This Row],[Impressions]]</f>
        <v>0.17642537414658407</v>
      </c>
      <c r="O16" t="str">
        <f>IF(Table1_1[[#This Row],[Date]] &lt; DATE(2025,1,1),"Before","During")</f>
        <v>Before</v>
      </c>
    </row>
    <row r="17" spans="1:24">
      <c r="A17" s="30" t="s">
        <v>212</v>
      </c>
      <c r="B17" s="30" t="s">
        <v>23</v>
      </c>
      <c r="C17" s="44">
        <v>45606</v>
      </c>
      <c r="D17" s="30" t="s">
        <v>15</v>
      </c>
      <c r="E17" s="30" t="s">
        <v>19</v>
      </c>
      <c r="F17" s="30">
        <v>4823</v>
      </c>
      <c r="G17" s="30">
        <v>489</v>
      </c>
      <c r="H17" s="30">
        <v>302</v>
      </c>
      <c r="I17" s="30">
        <v>32470</v>
      </c>
      <c r="J17" s="30">
        <v>31861</v>
      </c>
      <c r="K17" s="30">
        <v>178</v>
      </c>
      <c r="L17" s="30" t="s">
        <v>41</v>
      </c>
      <c r="M17" s="30" t="s">
        <v>21</v>
      </c>
      <c r="N17" s="39">
        <f>(Table1_1[[#This Row],[Likes]]+Table1_1[[#This Row],[Shares]]+Table1_1[[#This Row],[Comments]])/Table1_1[[#This Row],[Impressions]]</f>
        <v>0.1728980597474592</v>
      </c>
      <c r="O17" t="str">
        <f>IF(Table1_1[[#This Row],[Date]] &lt; DATE(2025,1,1),"Before","During")</f>
        <v>Before</v>
      </c>
    </row>
    <row r="18" spans="1:24">
      <c r="A18" s="30" t="s">
        <v>274</v>
      </c>
      <c r="B18" s="30" t="s">
        <v>23</v>
      </c>
      <c r="C18" s="44">
        <v>45639</v>
      </c>
      <c r="D18" s="30" t="s">
        <v>24</v>
      </c>
      <c r="E18" s="30" t="s">
        <v>25</v>
      </c>
      <c r="F18" s="30">
        <v>4984</v>
      </c>
      <c r="G18" s="30">
        <v>300</v>
      </c>
      <c r="H18" s="30">
        <v>338</v>
      </c>
      <c r="I18" s="30">
        <v>32900</v>
      </c>
      <c r="J18" s="30">
        <v>31691</v>
      </c>
      <c r="K18" s="30">
        <v>160</v>
      </c>
      <c r="L18" s="30" t="s">
        <v>368</v>
      </c>
      <c r="M18" s="30" t="s">
        <v>17</v>
      </c>
      <c r="N18" s="39">
        <f>(Table1_1[[#This Row],[Likes]]+Table1_1[[#This Row],[Shares]]+Table1_1[[#This Row],[Comments]])/Table1_1[[#This Row],[Impressions]]</f>
        <v>0.17088145896656534</v>
      </c>
      <c r="O18" t="str">
        <f>IF(Table1_1[[#This Row],[Date]] &lt; DATE(2025,1,1),"Before","During")</f>
        <v>Before</v>
      </c>
      <c r="W18" s="46"/>
      <c r="X18" s="46"/>
    </row>
    <row r="19" spans="1:24">
      <c r="A19" s="30" t="s">
        <v>269</v>
      </c>
      <c r="B19" s="30" t="s">
        <v>23</v>
      </c>
      <c r="C19" s="44">
        <v>45324</v>
      </c>
      <c r="D19" s="30" t="s">
        <v>15</v>
      </c>
      <c r="E19" s="30" t="s">
        <v>45</v>
      </c>
      <c r="F19" s="30">
        <v>3818</v>
      </c>
      <c r="G19" s="30">
        <v>115</v>
      </c>
      <c r="H19" s="30">
        <v>286</v>
      </c>
      <c r="I19" s="30">
        <v>25127</v>
      </c>
      <c r="J19" s="30">
        <v>22277</v>
      </c>
      <c r="K19" s="30">
        <v>263</v>
      </c>
      <c r="L19" s="30" t="s">
        <v>38</v>
      </c>
      <c r="M19" s="30" t="s">
        <v>17</v>
      </c>
      <c r="N19" s="39">
        <f>(Table1_1[[#This Row],[Likes]]+Table1_1[[#This Row],[Shares]]+Table1_1[[#This Row],[Comments]])/Table1_1[[#This Row],[Impressions]]</f>
        <v>0.16790703227603773</v>
      </c>
      <c r="O19" t="str">
        <f>IF(Table1_1[[#This Row],[Date]] &lt; DATE(2025,1,1),"Before","During")</f>
        <v>Before</v>
      </c>
    </row>
    <row r="20" spans="1:24">
      <c r="A20" s="30" t="s">
        <v>218</v>
      </c>
      <c r="B20" s="30" t="s">
        <v>23</v>
      </c>
      <c r="C20" s="44">
        <v>45496</v>
      </c>
      <c r="D20" s="30" t="s">
        <v>15</v>
      </c>
      <c r="E20" s="30" t="s">
        <v>37</v>
      </c>
      <c r="F20" s="30">
        <v>3204</v>
      </c>
      <c r="G20" s="30">
        <v>398</v>
      </c>
      <c r="H20" s="30">
        <v>85</v>
      </c>
      <c r="I20" s="30">
        <v>22020</v>
      </c>
      <c r="J20" s="30">
        <v>58353</v>
      </c>
      <c r="K20" s="30">
        <v>286</v>
      </c>
      <c r="L20" s="30" t="s">
        <v>41</v>
      </c>
      <c r="M20" s="30" t="s">
        <v>21</v>
      </c>
      <c r="N20" s="39">
        <f>(Table1_1[[#This Row],[Likes]]+Table1_1[[#This Row],[Shares]]+Table1_1[[#This Row],[Comments]])/Table1_1[[#This Row],[Impressions]]</f>
        <v>0.16743869209809265</v>
      </c>
      <c r="O20" t="str">
        <f>IF(Table1_1[[#This Row],[Date]] &lt; DATE(2025,1,1),"Before","During")</f>
        <v>Before</v>
      </c>
    </row>
    <row r="21" spans="1:24">
      <c r="A21" s="30" t="s">
        <v>146</v>
      </c>
      <c r="B21" s="30" t="s">
        <v>29</v>
      </c>
      <c r="C21" s="44">
        <v>45493</v>
      </c>
      <c r="D21" s="30" t="s">
        <v>53</v>
      </c>
      <c r="E21" s="30" t="s">
        <v>30</v>
      </c>
      <c r="F21" s="30">
        <v>4955</v>
      </c>
      <c r="G21" s="30">
        <v>299</v>
      </c>
      <c r="H21" s="30">
        <v>345</v>
      </c>
      <c r="I21" s="30">
        <v>33644</v>
      </c>
      <c r="J21" s="30">
        <v>43547</v>
      </c>
      <c r="K21" s="30">
        <v>194</v>
      </c>
      <c r="L21" s="30" t="s">
        <v>20</v>
      </c>
      <c r="M21" s="30" t="s">
        <v>54</v>
      </c>
      <c r="N21" s="39">
        <f>(Table1_1[[#This Row],[Likes]]+Table1_1[[#This Row],[Shares]]+Table1_1[[#This Row],[Comments]])/Table1_1[[#This Row],[Impressions]]</f>
        <v>0.16641897515158721</v>
      </c>
      <c r="O21" t="str">
        <f>IF(Table1_1[[#This Row],[Date]] &lt; DATE(2025,1,1),"Before","During")</f>
        <v>Before</v>
      </c>
    </row>
    <row r="22" spans="1:24">
      <c r="A22" s="30" t="s">
        <v>172</v>
      </c>
      <c r="B22" s="30" t="s">
        <v>23</v>
      </c>
      <c r="C22" s="44">
        <v>45387</v>
      </c>
      <c r="D22" s="30" t="s">
        <v>24</v>
      </c>
      <c r="E22" s="30" t="s">
        <v>25</v>
      </c>
      <c r="F22" s="30">
        <v>4965</v>
      </c>
      <c r="G22" s="30">
        <v>175</v>
      </c>
      <c r="H22" s="30">
        <v>307</v>
      </c>
      <c r="I22" s="30">
        <v>32793</v>
      </c>
      <c r="J22" s="30">
        <v>43412</v>
      </c>
      <c r="K22" s="30">
        <v>296</v>
      </c>
      <c r="L22" s="30" t="s">
        <v>41</v>
      </c>
      <c r="M22" s="30" t="s">
        <v>17</v>
      </c>
      <c r="N22" s="39">
        <f>(Table1_1[[#This Row],[Likes]]+Table1_1[[#This Row],[Shares]]+Table1_1[[#This Row],[Comments]])/Table1_1[[#This Row],[Impressions]]</f>
        <v>0.16610252187966945</v>
      </c>
      <c r="O22" t="str">
        <f>IF(Table1_1[[#This Row],[Date]] &lt; DATE(2025,1,1),"Before","During")</f>
        <v>Before</v>
      </c>
    </row>
    <row r="23" spans="1:24">
      <c r="A23" s="30" t="s">
        <v>281</v>
      </c>
      <c r="B23" s="30" t="s">
        <v>23</v>
      </c>
      <c r="C23" s="44">
        <v>45481</v>
      </c>
      <c r="D23" s="30" t="s">
        <v>24</v>
      </c>
      <c r="E23" s="30" t="s">
        <v>37</v>
      </c>
      <c r="F23" s="30">
        <v>2981</v>
      </c>
      <c r="G23" s="30">
        <v>258</v>
      </c>
      <c r="H23" s="30">
        <v>168</v>
      </c>
      <c r="I23" s="30">
        <v>20677</v>
      </c>
      <c r="J23" s="30">
        <v>68290</v>
      </c>
      <c r="K23" s="30">
        <v>130</v>
      </c>
      <c r="L23" s="30" t="s">
        <v>41</v>
      </c>
      <c r="M23" s="30" t="s">
        <v>17</v>
      </c>
      <c r="N23" s="39">
        <f>(Table1_1[[#This Row],[Likes]]+Table1_1[[#This Row],[Shares]]+Table1_1[[#This Row],[Comments]])/Table1_1[[#This Row],[Impressions]]</f>
        <v>0.16477245248343569</v>
      </c>
      <c r="O23" t="str">
        <f>IF(Table1_1[[#This Row],[Date]] &lt; DATE(2025,1,1),"Before","During")</f>
        <v>Before</v>
      </c>
    </row>
    <row r="24" spans="1:24">
      <c r="A24" s="30" t="s">
        <v>207</v>
      </c>
      <c r="B24" s="30" t="s">
        <v>29</v>
      </c>
      <c r="C24" s="44">
        <v>45400</v>
      </c>
      <c r="D24" s="30" t="s">
        <v>15</v>
      </c>
      <c r="E24" s="30" t="s">
        <v>19</v>
      </c>
      <c r="F24" s="30">
        <v>4023</v>
      </c>
      <c r="G24" s="30">
        <v>293</v>
      </c>
      <c r="H24" s="30">
        <v>91</v>
      </c>
      <c r="I24" s="30">
        <v>26795</v>
      </c>
      <c r="J24" s="30">
        <v>28924</v>
      </c>
      <c r="K24" s="30">
        <v>278</v>
      </c>
      <c r="L24" s="30" t="s">
        <v>20</v>
      </c>
      <c r="M24" s="30" t="s">
        <v>21</v>
      </c>
      <c r="N24" s="39">
        <f>(Table1_1[[#This Row],[Likes]]+Table1_1[[#This Row],[Shares]]+Table1_1[[#This Row],[Comments]])/Table1_1[[#This Row],[Impressions]]</f>
        <v>0.16447098339242397</v>
      </c>
      <c r="O24" t="str">
        <f>IF(Table1_1[[#This Row],[Date]] &lt; DATE(2025,1,1),"Before","During")</f>
        <v>Before</v>
      </c>
    </row>
    <row r="25" spans="1:24">
      <c r="A25" s="30" t="s">
        <v>119</v>
      </c>
      <c r="B25" s="30" t="s">
        <v>23</v>
      </c>
      <c r="C25" s="44">
        <v>45507</v>
      </c>
      <c r="D25" s="30" t="s">
        <v>15</v>
      </c>
      <c r="E25" s="30" t="s">
        <v>47</v>
      </c>
      <c r="F25" s="30">
        <v>4247</v>
      </c>
      <c r="G25" s="30">
        <v>390</v>
      </c>
      <c r="H25" s="30">
        <v>213</v>
      </c>
      <c r="I25" s="30">
        <v>29785</v>
      </c>
      <c r="J25" s="30">
        <v>57768</v>
      </c>
      <c r="K25" s="30">
        <v>122</v>
      </c>
      <c r="L25" s="30" t="s">
        <v>38</v>
      </c>
      <c r="M25" s="30" t="s">
        <v>17</v>
      </c>
      <c r="N25" s="39">
        <f>(Table1_1[[#This Row],[Likes]]+Table1_1[[#This Row],[Shares]]+Table1_1[[#This Row],[Comments]])/Table1_1[[#This Row],[Impressions]]</f>
        <v>0.16283364109451065</v>
      </c>
      <c r="O25" t="str">
        <f>IF(Table1_1[[#This Row],[Date]] &lt; DATE(2025,1,1),"Before","During")</f>
        <v>Before</v>
      </c>
    </row>
    <row r="26" spans="1:24">
      <c r="A26" s="30" t="s">
        <v>68</v>
      </c>
      <c r="B26" s="30" t="s">
        <v>23</v>
      </c>
      <c r="C26" s="44">
        <v>45574</v>
      </c>
      <c r="D26" s="30" t="s">
        <v>24</v>
      </c>
      <c r="E26" s="30" t="s">
        <v>16</v>
      </c>
      <c r="F26" s="30">
        <v>4929</v>
      </c>
      <c r="G26" s="30">
        <v>182</v>
      </c>
      <c r="H26" s="30">
        <v>95</v>
      </c>
      <c r="I26" s="30">
        <v>32181</v>
      </c>
      <c r="J26" s="30">
        <v>31084</v>
      </c>
      <c r="K26" s="30">
        <v>289</v>
      </c>
      <c r="L26" s="30" t="s">
        <v>20</v>
      </c>
      <c r="M26" s="30" t="s">
        <v>17</v>
      </c>
      <c r="N26" s="39">
        <f>(Table1_1[[#This Row],[Likes]]+Table1_1[[#This Row],[Shares]]+Table1_1[[#This Row],[Comments]])/Table1_1[[#This Row],[Impressions]]</f>
        <v>0.16177247444144061</v>
      </c>
      <c r="O26" t="str">
        <f>IF(Table1_1[[#This Row],[Date]] &lt; DATE(2025,1,1),"Before","During")</f>
        <v>Before</v>
      </c>
    </row>
    <row r="27" spans="1:24">
      <c r="A27" s="30" t="s">
        <v>202</v>
      </c>
      <c r="B27" s="30" t="s">
        <v>29</v>
      </c>
      <c r="C27" s="44">
        <v>45684</v>
      </c>
      <c r="D27" s="30" t="s">
        <v>15</v>
      </c>
      <c r="E27" s="30" t="s">
        <v>27</v>
      </c>
      <c r="F27" s="30">
        <v>4294</v>
      </c>
      <c r="G27" s="30">
        <v>423</v>
      </c>
      <c r="H27" s="30">
        <v>93</v>
      </c>
      <c r="I27" s="30">
        <v>29828</v>
      </c>
      <c r="J27" s="30">
        <v>73144</v>
      </c>
      <c r="K27" s="30">
        <v>298</v>
      </c>
      <c r="L27" s="30" t="s">
        <v>20</v>
      </c>
      <c r="M27" s="30" t="s">
        <v>21</v>
      </c>
      <c r="N27" s="39">
        <f>(Table1_1[[#This Row],[Likes]]+Table1_1[[#This Row],[Shares]]+Table1_1[[#This Row],[Comments]])/Table1_1[[#This Row],[Impressions]]</f>
        <v>0.1612578785034196</v>
      </c>
      <c r="O27" t="str">
        <f>IF(Table1_1[[#This Row],[Date]] &lt; DATE(2025,1,1),"Before","During")</f>
        <v>During</v>
      </c>
    </row>
    <row r="28" spans="1:24">
      <c r="A28" s="30" t="s">
        <v>193</v>
      </c>
      <c r="B28" s="30" t="s">
        <v>23</v>
      </c>
      <c r="C28" s="44">
        <v>45737</v>
      </c>
      <c r="D28" s="30" t="s">
        <v>24</v>
      </c>
      <c r="E28" s="30" t="s">
        <v>25</v>
      </c>
      <c r="F28" s="30">
        <v>4609</v>
      </c>
      <c r="G28" s="30">
        <v>427</v>
      </c>
      <c r="H28" s="30">
        <v>395</v>
      </c>
      <c r="I28" s="30">
        <v>33698</v>
      </c>
      <c r="J28" s="30">
        <v>29259</v>
      </c>
      <c r="K28" s="30">
        <v>216</v>
      </c>
      <c r="L28" s="30" t="s">
        <v>20</v>
      </c>
      <c r="M28" s="30" t="s">
        <v>17</v>
      </c>
      <c r="N28" s="39">
        <f>(Table1_1[[#This Row],[Likes]]+Table1_1[[#This Row],[Shares]]+Table1_1[[#This Row],[Comments]])/Table1_1[[#This Row],[Impressions]]</f>
        <v>0.16116683482699271</v>
      </c>
      <c r="O28" t="str">
        <f>IF(Table1_1[[#This Row],[Date]] &lt; DATE(2025,1,1),"Before","During")</f>
        <v>During</v>
      </c>
    </row>
    <row r="29" spans="1:24">
      <c r="A29" s="30" t="s">
        <v>106</v>
      </c>
      <c r="B29" s="30" t="s">
        <v>23</v>
      </c>
      <c r="C29" s="44">
        <v>45302</v>
      </c>
      <c r="D29" s="30" t="s">
        <v>15</v>
      </c>
      <c r="E29" s="30" t="s">
        <v>32</v>
      </c>
      <c r="F29" s="30">
        <v>4218</v>
      </c>
      <c r="G29" s="30">
        <v>247</v>
      </c>
      <c r="H29" s="30">
        <v>183</v>
      </c>
      <c r="I29" s="30">
        <v>28914</v>
      </c>
      <c r="J29" s="30">
        <v>18310</v>
      </c>
      <c r="K29" s="30">
        <v>135</v>
      </c>
      <c r="L29" s="30" t="s">
        <v>41</v>
      </c>
      <c r="M29" s="30" t="s">
        <v>21</v>
      </c>
      <c r="N29" s="39">
        <f>(Table1_1[[#This Row],[Likes]]+Table1_1[[#This Row],[Shares]]+Table1_1[[#This Row],[Comments]])/Table1_1[[#This Row],[Impressions]]</f>
        <v>0.1607525766064882</v>
      </c>
      <c r="O29" t="str">
        <f>IF(Table1_1[[#This Row],[Date]] &lt; DATE(2025,1,1),"Before","During")</f>
        <v>Before</v>
      </c>
    </row>
    <row r="30" spans="1:24">
      <c r="A30" s="30" t="s">
        <v>145</v>
      </c>
      <c r="B30" s="30" t="s">
        <v>14</v>
      </c>
      <c r="C30" s="44">
        <v>45469</v>
      </c>
      <c r="D30" s="30" t="s">
        <v>15</v>
      </c>
      <c r="E30" s="30" t="s">
        <v>25</v>
      </c>
      <c r="F30" s="30">
        <v>3253</v>
      </c>
      <c r="G30" s="30">
        <v>483</v>
      </c>
      <c r="H30" s="30">
        <v>336</v>
      </c>
      <c r="I30" s="30">
        <v>25397</v>
      </c>
      <c r="J30" s="30">
        <v>51485</v>
      </c>
      <c r="K30" s="30">
        <v>131</v>
      </c>
      <c r="L30" s="30" t="s">
        <v>20</v>
      </c>
      <c r="M30" s="30" t="s">
        <v>21</v>
      </c>
      <c r="N30" s="39">
        <f>(Table1_1[[#This Row],[Likes]]+Table1_1[[#This Row],[Shares]]+Table1_1[[#This Row],[Comments]])/Table1_1[[#This Row],[Impressions]]</f>
        <v>0.16033389770445328</v>
      </c>
      <c r="O30" t="str">
        <f>IF(Table1_1[[#This Row],[Date]] &lt; DATE(2025,1,1),"Before","During")</f>
        <v>Before</v>
      </c>
    </row>
    <row r="31" spans="1:24">
      <c r="A31" s="30" t="s">
        <v>83</v>
      </c>
      <c r="B31" s="30" t="s">
        <v>14</v>
      </c>
      <c r="C31" s="44">
        <v>45693</v>
      </c>
      <c r="D31" s="30" t="s">
        <v>24</v>
      </c>
      <c r="E31" s="30" t="s">
        <v>30</v>
      </c>
      <c r="F31" s="30">
        <v>3074</v>
      </c>
      <c r="G31" s="30">
        <v>371</v>
      </c>
      <c r="H31" s="30">
        <v>348</v>
      </c>
      <c r="I31" s="30">
        <v>24104</v>
      </c>
      <c r="J31" s="30">
        <v>57803</v>
      </c>
      <c r="K31" s="30">
        <v>213</v>
      </c>
      <c r="L31" s="30" t="s">
        <v>38</v>
      </c>
      <c r="M31" s="30" t="s">
        <v>51</v>
      </c>
      <c r="N31" s="39">
        <f>(Table1_1[[#This Row],[Likes]]+Table1_1[[#This Row],[Shares]]+Table1_1[[#This Row],[Comments]])/Table1_1[[#This Row],[Impressions]]</f>
        <v>0.15735977431131762</v>
      </c>
      <c r="O31" t="str">
        <f>IF(Table1_1[[#This Row],[Date]] &lt; DATE(2025,1,1),"Before","During")</f>
        <v>During</v>
      </c>
    </row>
    <row r="32" spans="1:24">
      <c r="A32" s="30" t="s">
        <v>325</v>
      </c>
      <c r="B32" s="30" t="s">
        <v>23</v>
      </c>
      <c r="C32" s="44">
        <v>45517</v>
      </c>
      <c r="D32" s="30" t="s">
        <v>15</v>
      </c>
      <c r="E32" s="30" t="s">
        <v>19</v>
      </c>
      <c r="F32" s="30">
        <v>3418</v>
      </c>
      <c r="G32" s="30">
        <v>107</v>
      </c>
      <c r="H32" s="30">
        <v>221</v>
      </c>
      <c r="I32" s="30">
        <v>23927</v>
      </c>
      <c r="J32" s="30">
        <v>26182</v>
      </c>
      <c r="K32" s="30">
        <v>155</v>
      </c>
      <c r="L32" s="30" t="s">
        <v>41</v>
      </c>
      <c r="M32" s="30" t="s">
        <v>21</v>
      </c>
      <c r="N32" s="39">
        <f>(Table1_1[[#This Row],[Likes]]+Table1_1[[#This Row],[Shares]]+Table1_1[[#This Row],[Comments]])/Table1_1[[#This Row],[Impressions]]</f>
        <v>0.1565595352530614</v>
      </c>
      <c r="O32" t="str">
        <f>IF(Table1_1[[#This Row],[Date]] &lt; DATE(2025,1,1),"Before","During")</f>
        <v>Before</v>
      </c>
    </row>
    <row r="33" spans="1:15">
      <c r="A33" s="30" t="s">
        <v>196</v>
      </c>
      <c r="B33" s="30" t="s">
        <v>14</v>
      </c>
      <c r="C33" s="44">
        <v>45803</v>
      </c>
      <c r="D33" s="30" t="s">
        <v>15</v>
      </c>
      <c r="E33" s="30" t="s">
        <v>16</v>
      </c>
      <c r="F33" s="30">
        <v>3086</v>
      </c>
      <c r="G33" s="30">
        <v>148</v>
      </c>
      <c r="H33" s="30">
        <v>310</v>
      </c>
      <c r="I33" s="30">
        <v>22824</v>
      </c>
      <c r="J33" s="30">
        <v>58103</v>
      </c>
      <c r="K33" s="30">
        <v>275</v>
      </c>
      <c r="L33" s="30" t="s">
        <v>20</v>
      </c>
      <c r="M33" s="30" t="s">
        <v>21</v>
      </c>
      <c r="N33" s="39">
        <f>(Table1_1[[#This Row],[Likes]]+Table1_1[[#This Row],[Shares]]+Table1_1[[#This Row],[Comments]])/Table1_1[[#This Row],[Impressions]]</f>
        <v>0.1552751489660007</v>
      </c>
      <c r="O33" t="str">
        <f>IF(Table1_1[[#This Row],[Date]] &lt; DATE(2025,1,1),"Before","During")</f>
        <v>During</v>
      </c>
    </row>
    <row r="34" spans="1:15">
      <c r="A34" s="30" t="s">
        <v>205</v>
      </c>
      <c r="B34" s="30" t="s">
        <v>23</v>
      </c>
      <c r="C34" s="44">
        <v>45619</v>
      </c>
      <c r="D34" s="30" t="s">
        <v>15</v>
      </c>
      <c r="E34" s="30" t="s">
        <v>25</v>
      </c>
      <c r="F34" s="30">
        <v>4318</v>
      </c>
      <c r="G34" s="30">
        <v>371</v>
      </c>
      <c r="H34" s="30">
        <v>329</v>
      </c>
      <c r="I34" s="30">
        <v>32347</v>
      </c>
      <c r="J34" s="30">
        <v>68956</v>
      </c>
      <c r="K34" s="30">
        <v>259</v>
      </c>
      <c r="L34" s="30" t="s">
        <v>41</v>
      </c>
      <c r="M34" s="30" t="s">
        <v>21</v>
      </c>
      <c r="N34" s="39">
        <f>(Table1_1[[#This Row],[Likes]]+Table1_1[[#This Row],[Shares]]+Table1_1[[#This Row],[Comments]])/Table1_1[[#This Row],[Impressions]]</f>
        <v>0.15513030574705536</v>
      </c>
      <c r="O34" t="str">
        <f>IF(Table1_1[[#This Row],[Date]] &lt; DATE(2025,1,1),"Before","During")</f>
        <v>Before</v>
      </c>
    </row>
    <row r="35" spans="1:15">
      <c r="A35" s="30" t="s">
        <v>289</v>
      </c>
      <c r="B35" s="30" t="s">
        <v>23</v>
      </c>
      <c r="C35" s="44">
        <v>45691</v>
      </c>
      <c r="D35" s="30" t="s">
        <v>15</v>
      </c>
      <c r="E35" s="30" t="s">
        <v>32</v>
      </c>
      <c r="F35" s="30">
        <v>4995</v>
      </c>
      <c r="G35" s="30">
        <v>231</v>
      </c>
      <c r="H35" s="30">
        <v>94</v>
      </c>
      <c r="I35" s="30">
        <v>34431</v>
      </c>
      <c r="J35" s="30">
        <v>32560</v>
      </c>
      <c r="K35" s="30">
        <v>262</v>
      </c>
      <c r="L35" s="30" t="s">
        <v>38</v>
      </c>
      <c r="M35" s="30" t="s">
        <v>17</v>
      </c>
      <c r="N35" s="39">
        <f>(Table1_1[[#This Row],[Likes]]+Table1_1[[#This Row],[Shares]]+Table1_1[[#This Row],[Comments]])/Table1_1[[#This Row],[Impressions]]</f>
        <v>0.15451192239551567</v>
      </c>
      <c r="O35" t="str">
        <f>IF(Table1_1[[#This Row],[Date]] &lt; DATE(2025,1,1),"Before","During")</f>
        <v>During</v>
      </c>
    </row>
    <row r="36" spans="1:15">
      <c r="A36" s="30" t="s">
        <v>55</v>
      </c>
      <c r="B36" s="30" t="s">
        <v>14</v>
      </c>
      <c r="C36" s="44">
        <v>45478</v>
      </c>
      <c r="D36" s="30" t="s">
        <v>15</v>
      </c>
      <c r="E36" s="30" t="s">
        <v>47</v>
      </c>
      <c r="F36" s="30">
        <v>3753</v>
      </c>
      <c r="G36" s="30">
        <v>411</v>
      </c>
      <c r="H36" s="30">
        <v>308</v>
      </c>
      <c r="I36" s="30">
        <v>29138</v>
      </c>
      <c r="J36" s="30">
        <v>27678</v>
      </c>
      <c r="K36" s="30">
        <v>90</v>
      </c>
      <c r="L36" s="30" t="s">
        <v>20</v>
      </c>
      <c r="M36" s="30" t="s">
        <v>21</v>
      </c>
      <c r="N36" s="39">
        <f>(Table1_1[[#This Row],[Likes]]+Table1_1[[#This Row],[Shares]]+Table1_1[[#This Row],[Comments]])/Table1_1[[#This Row],[Impressions]]</f>
        <v>0.15347655981879332</v>
      </c>
      <c r="O36" t="str">
        <f>IF(Table1_1[[#This Row],[Date]] &lt; DATE(2025,1,1),"Before","During")</f>
        <v>Before</v>
      </c>
    </row>
    <row r="37" spans="1:15">
      <c r="A37" s="30" t="s">
        <v>87</v>
      </c>
      <c r="B37" s="30" t="s">
        <v>23</v>
      </c>
      <c r="C37" s="44">
        <v>45539</v>
      </c>
      <c r="D37" s="30" t="s">
        <v>24</v>
      </c>
      <c r="E37" s="30" t="s">
        <v>25</v>
      </c>
      <c r="F37" s="30">
        <v>2613</v>
      </c>
      <c r="G37" s="30">
        <v>455</v>
      </c>
      <c r="H37" s="30">
        <v>228</v>
      </c>
      <c r="I37" s="30">
        <v>21645</v>
      </c>
      <c r="J37" s="30">
        <v>61334</v>
      </c>
      <c r="K37" s="30">
        <v>261</v>
      </c>
      <c r="L37" s="30" t="s">
        <v>20</v>
      </c>
      <c r="M37" s="30" t="s">
        <v>17</v>
      </c>
      <c r="N37" s="39">
        <f>(Table1_1[[#This Row],[Likes]]+Table1_1[[#This Row],[Shares]]+Table1_1[[#This Row],[Comments]])/Table1_1[[#This Row],[Impressions]]</f>
        <v>0.15227535227535227</v>
      </c>
      <c r="O37" t="str">
        <f>IF(Table1_1[[#This Row],[Date]] &lt; DATE(2025,1,1),"Before","During")</f>
        <v>Before</v>
      </c>
    </row>
    <row r="38" spans="1:15">
      <c r="A38" s="30" t="s">
        <v>306</v>
      </c>
      <c r="B38" s="30" t="s">
        <v>23</v>
      </c>
      <c r="C38" s="44">
        <v>45693</v>
      </c>
      <c r="D38" s="30" t="s">
        <v>24</v>
      </c>
      <c r="E38" s="30" t="s">
        <v>16</v>
      </c>
      <c r="F38" s="30">
        <v>3029</v>
      </c>
      <c r="G38" s="30">
        <v>440</v>
      </c>
      <c r="H38" s="30">
        <v>66</v>
      </c>
      <c r="I38" s="30">
        <v>23815</v>
      </c>
      <c r="J38" s="30">
        <v>47895</v>
      </c>
      <c r="K38" s="30">
        <v>210</v>
      </c>
      <c r="L38" s="30" t="s">
        <v>20</v>
      </c>
      <c r="M38" s="30" t="s">
        <v>17</v>
      </c>
      <c r="N38" s="39">
        <f>(Table1_1[[#This Row],[Likes]]+Table1_1[[#This Row],[Shares]]+Table1_1[[#This Row],[Comments]])/Table1_1[[#This Row],[Impressions]]</f>
        <v>0.14843585975225698</v>
      </c>
      <c r="O38" t="str">
        <f>IF(Table1_1[[#This Row],[Date]] &lt; DATE(2025,1,1),"Before","During")</f>
        <v>During</v>
      </c>
    </row>
    <row r="39" spans="1:15">
      <c r="A39" s="30" t="s">
        <v>118</v>
      </c>
      <c r="B39" s="30" t="s">
        <v>23</v>
      </c>
      <c r="C39" s="44">
        <v>45660</v>
      </c>
      <c r="D39" s="30" t="s">
        <v>24</v>
      </c>
      <c r="E39" s="30" t="s">
        <v>34</v>
      </c>
      <c r="F39" s="30">
        <v>4845</v>
      </c>
      <c r="G39" s="30">
        <v>158</v>
      </c>
      <c r="H39" s="30">
        <v>84</v>
      </c>
      <c r="I39" s="30">
        <v>34578</v>
      </c>
      <c r="J39" s="30">
        <v>51480</v>
      </c>
      <c r="K39" s="30">
        <v>180</v>
      </c>
      <c r="L39" s="30" t="s">
        <v>41</v>
      </c>
      <c r="M39" s="30" t="s">
        <v>17</v>
      </c>
      <c r="N39" s="39">
        <f>(Table1_1[[#This Row],[Likes]]+Table1_1[[#This Row],[Shares]]+Table1_1[[#This Row],[Comments]])/Table1_1[[#This Row],[Impressions]]</f>
        <v>0.1471166637746544</v>
      </c>
      <c r="O39" t="str">
        <f>IF(Table1_1[[#This Row],[Date]] &lt; DATE(2025,1,1),"Before","During")</f>
        <v>During</v>
      </c>
    </row>
    <row r="40" spans="1:15">
      <c r="A40" s="30" t="s">
        <v>284</v>
      </c>
      <c r="B40" s="30" t="s">
        <v>14</v>
      </c>
      <c r="C40" s="44">
        <v>45357</v>
      </c>
      <c r="D40" s="30" t="s">
        <v>15</v>
      </c>
      <c r="E40" s="30" t="s">
        <v>32</v>
      </c>
      <c r="F40" s="30">
        <v>3529</v>
      </c>
      <c r="G40" s="30">
        <v>263</v>
      </c>
      <c r="H40" s="30">
        <v>107</v>
      </c>
      <c r="I40" s="30">
        <v>26570</v>
      </c>
      <c r="J40" s="30">
        <v>19367</v>
      </c>
      <c r="K40" s="30">
        <v>96</v>
      </c>
      <c r="L40" s="30" t="s">
        <v>20</v>
      </c>
      <c r="M40" s="30" t="s">
        <v>21</v>
      </c>
      <c r="N40" s="39">
        <f>(Table1_1[[#This Row],[Likes]]+Table1_1[[#This Row],[Shares]]+Table1_1[[#This Row],[Comments]])/Table1_1[[#This Row],[Impressions]]</f>
        <v>0.14674444862627023</v>
      </c>
      <c r="O40" t="str">
        <f>IF(Table1_1[[#This Row],[Date]] &lt; DATE(2025,1,1),"Before","During")</f>
        <v>Before</v>
      </c>
    </row>
    <row r="41" spans="1:15">
      <c r="A41" s="30" t="s">
        <v>81</v>
      </c>
      <c r="B41" s="30" t="s">
        <v>14</v>
      </c>
      <c r="C41" s="44">
        <v>45334</v>
      </c>
      <c r="D41" s="30" t="s">
        <v>15</v>
      </c>
      <c r="E41" s="30" t="s">
        <v>19</v>
      </c>
      <c r="F41" s="30">
        <v>2923</v>
      </c>
      <c r="G41" s="30">
        <v>330</v>
      </c>
      <c r="H41" s="30">
        <v>250</v>
      </c>
      <c r="I41" s="30">
        <v>23993</v>
      </c>
      <c r="J41" s="30">
        <v>74590</v>
      </c>
      <c r="K41" s="30">
        <v>92</v>
      </c>
      <c r="L41" s="30" t="s">
        <v>20</v>
      </c>
      <c r="M41" s="30" t="s">
        <v>21</v>
      </c>
      <c r="N41" s="39">
        <f>(Table1_1[[#This Row],[Likes]]+Table1_1[[#This Row],[Shares]]+Table1_1[[#This Row],[Comments]])/Table1_1[[#This Row],[Impressions]]</f>
        <v>0.14600091693410577</v>
      </c>
      <c r="O41" t="str">
        <f>IF(Table1_1[[#This Row],[Date]] &lt; DATE(2025,1,1),"Before","During")</f>
        <v>Before</v>
      </c>
    </row>
    <row r="42" spans="1:15">
      <c r="A42" s="30" t="s">
        <v>137</v>
      </c>
      <c r="B42" s="30" t="s">
        <v>23</v>
      </c>
      <c r="C42" s="44">
        <v>45591</v>
      </c>
      <c r="D42" s="30" t="s">
        <v>15</v>
      </c>
      <c r="E42" s="30" t="s">
        <v>16</v>
      </c>
      <c r="F42" s="30">
        <v>3036</v>
      </c>
      <c r="G42" s="30">
        <v>293</v>
      </c>
      <c r="H42" s="30">
        <v>115</v>
      </c>
      <c r="I42" s="30">
        <v>23776</v>
      </c>
      <c r="J42" s="30">
        <v>46386</v>
      </c>
      <c r="K42" s="30">
        <v>282</v>
      </c>
      <c r="L42" s="30" t="s">
        <v>38</v>
      </c>
      <c r="M42" s="30" t="s">
        <v>17</v>
      </c>
      <c r="N42" s="39">
        <f>(Table1_1[[#This Row],[Likes]]+Table1_1[[#This Row],[Shares]]+Table1_1[[#This Row],[Comments]])/Table1_1[[#This Row],[Impressions]]</f>
        <v>0.14485195154777927</v>
      </c>
      <c r="O42" t="str">
        <f>IF(Table1_1[[#This Row],[Date]] &lt; DATE(2025,1,1),"Before","During")</f>
        <v>Before</v>
      </c>
    </row>
    <row r="43" spans="1:15">
      <c r="A43" s="30" t="s">
        <v>75</v>
      </c>
      <c r="B43" s="30" t="s">
        <v>23</v>
      </c>
      <c r="C43" s="44">
        <v>45818</v>
      </c>
      <c r="D43" s="30" t="s">
        <v>15</v>
      </c>
      <c r="E43" s="30" t="s">
        <v>19</v>
      </c>
      <c r="F43" s="30">
        <v>3615</v>
      </c>
      <c r="G43" s="30">
        <v>192</v>
      </c>
      <c r="H43" s="30">
        <v>162</v>
      </c>
      <c r="I43" s="30">
        <v>27492</v>
      </c>
      <c r="J43" s="30">
        <v>35341</v>
      </c>
      <c r="K43" s="30">
        <v>125</v>
      </c>
      <c r="L43" s="30" t="s">
        <v>38</v>
      </c>
      <c r="M43" s="30" t="s">
        <v>17</v>
      </c>
      <c r="N43" s="39">
        <f>(Table1_1[[#This Row],[Likes]]+Table1_1[[#This Row],[Shares]]+Table1_1[[#This Row],[Comments]])/Table1_1[[#This Row],[Impressions]]</f>
        <v>0.14436927106067218</v>
      </c>
      <c r="O43" t="str">
        <f>IF(Table1_1[[#This Row],[Date]] &lt; DATE(2025,1,1),"Before","During")</f>
        <v>During</v>
      </c>
    </row>
    <row r="44" spans="1:15">
      <c r="A44" s="30" t="s">
        <v>129</v>
      </c>
      <c r="B44" s="30" t="s">
        <v>23</v>
      </c>
      <c r="C44" s="44">
        <v>45609</v>
      </c>
      <c r="D44" s="30" t="s">
        <v>24</v>
      </c>
      <c r="E44" s="30" t="s">
        <v>37</v>
      </c>
      <c r="F44" s="30">
        <v>4628</v>
      </c>
      <c r="G44" s="30">
        <v>257</v>
      </c>
      <c r="H44" s="30">
        <v>397</v>
      </c>
      <c r="I44" s="30">
        <v>36686</v>
      </c>
      <c r="J44" s="30">
        <v>54683</v>
      </c>
      <c r="K44" s="30">
        <v>98</v>
      </c>
      <c r="L44" s="30" t="s">
        <v>41</v>
      </c>
      <c r="M44" s="30" t="s">
        <v>17</v>
      </c>
      <c r="N44" s="39">
        <f>(Table1_1[[#This Row],[Likes]]+Table1_1[[#This Row],[Shares]]+Table1_1[[#This Row],[Comments]])/Table1_1[[#This Row],[Impressions]]</f>
        <v>0.1439786294499264</v>
      </c>
      <c r="O44" t="str">
        <f>IF(Table1_1[[#This Row],[Date]] &lt; DATE(2025,1,1),"Before","During")</f>
        <v>Before</v>
      </c>
    </row>
    <row r="45" spans="1:15">
      <c r="A45" s="30" t="s">
        <v>114</v>
      </c>
      <c r="B45" s="30" t="s">
        <v>29</v>
      </c>
      <c r="C45" s="44">
        <v>45304</v>
      </c>
      <c r="D45" s="30" t="s">
        <v>53</v>
      </c>
      <c r="E45" s="30" t="s">
        <v>25</v>
      </c>
      <c r="F45" s="30">
        <v>4781</v>
      </c>
      <c r="G45" s="30">
        <v>191</v>
      </c>
      <c r="H45" s="30">
        <v>122</v>
      </c>
      <c r="I45" s="30">
        <v>35535</v>
      </c>
      <c r="J45" s="30">
        <v>50777</v>
      </c>
      <c r="K45" s="30">
        <v>128</v>
      </c>
      <c r="L45" s="30" t="s">
        <v>20</v>
      </c>
      <c r="M45" s="30" t="s">
        <v>54</v>
      </c>
      <c r="N45" s="39">
        <f>(Table1_1[[#This Row],[Likes]]+Table1_1[[#This Row],[Shares]]+Table1_1[[#This Row],[Comments]])/Table1_1[[#This Row],[Impressions]]</f>
        <v>0.14335162515829464</v>
      </c>
      <c r="O45" t="str">
        <f>IF(Table1_1[[#This Row],[Date]] &lt; DATE(2025,1,1),"Before","During")</f>
        <v>Before</v>
      </c>
    </row>
    <row r="46" spans="1:15">
      <c r="A46" s="30" t="s">
        <v>130</v>
      </c>
      <c r="B46" s="30" t="s">
        <v>14</v>
      </c>
      <c r="C46" s="44">
        <v>45373</v>
      </c>
      <c r="D46" s="30" t="s">
        <v>24</v>
      </c>
      <c r="E46" s="30" t="s">
        <v>16</v>
      </c>
      <c r="F46" s="30">
        <v>2319</v>
      </c>
      <c r="G46" s="30">
        <v>484</v>
      </c>
      <c r="H46" s="30">
        <v>193</v>
      </c>
      <c r="I46" s="30">
        <v>21202</v>
      </c>
      <c r="J46" s="30">
        <v>18091</v>
      </c>
      <c r="K46" s="30">
        <v>241</v>
      </c>
      <c r="L46" s="30" t="s">
        <v>38</v>
      </c>
      <c r="M46" s="30" t="s">
        <v>51</v>
      </c>
      <c r="N46" s="39">
        <f>(Table1_1[[#This Row],[Likes]]+Table1_1[[#This Row],[Shares]]+Table1_1[[#This Row],[Comments]])/Table1_1[[#This Row],[Impressions]]</f>
        <v>0.14130742382794076</v>
      </c>
      <c r="O46" t="str">
        <f>IF(Table1_1[[#This Row],[Date]] &lt; DATE(2025,1,1),"Before","During")</f>
        <v>Before</v>
      </c>
    </row>
    <row r="47" spans="1:15">
      <c r="A47" s="30" t="s">
        <v>50</v>
      </c>
      <c r="B47" s="30" t="s">
        <v>14</v>
      </c>
      <c r="C47" s="44">
        <v>45325</v>
      </c>
      <c r="D47" s="30" t="s">
        <v>24</v>
      </c>
      <c r="E47" s="30" t="s">
        <v>30</v>
      </c>
      <c r="F47" s="30">
        <v>4281</v>
      </c>
      <c r="G47" s="30">
        <v>101</v>
      </c>
      <c r="H47" s="30">
        <v>163</v>
      </c>
      <c r="I47" s="30">
        <v>32278</v>
      </c>
      <c r="J47" s="30">
        <v>53382</v>
      </c>
      <c r="K47" s="30">
        <v>235</v>
      </c>
      <c r="L47" s="30" t="s">
        <v>38</v>
      </c>
      <c r="M47" s="30" t="s">
        <v>51</v>
      </c>
      <c r="N47" s="39">
        <f>(Table1_1[[#This Row],[Likes]]+Table1_1[[#This Row],[Shares]]+Table1_1[[#This Row],[Comments]])/Table1_1[[#This Row],[Impressions]]</f>
        <v>0.1408079806679472</v>
      </c>
      <c r="O47" t="str">
        <f>IF(Table1_1[[#This Row],[Date]] &lt; DATE(2025,1,1),"Before","During")</f>
        <v>Before</v>
      </c>
    </row>
    <row r="48" spans="1:15">
      <c r="A48" s="30" t="s">
        <v>234</v>
      </c>
      <c r="B48" s="30" t="s">
        <v>23</v>
      </c>
      <c r="C48" s="44">
        <v>45484</v>
      </c>
      <c r="D48" s="30" t="s">
        <v>24</v>
      </c>
      <c r="E48" s="30" t="s">
        <v>34</v>
      </c>
      <c r="F48" s="30">
        <v>4247</v>
      </c>
      <c r="G48" s="30">
        <v>179</v>
      </c>
      <c r="H48" s="30">
        <v>175</v>
      </c>
      <c r="I48" s="30">
        <v>32991</v>
      </c>
      <c r="J48" s="30">
        <v>70120</v>
      </c>
      <c r="K48" s="30">
        <v>276</v>
      </c>
      <c r="L48" s="30" t="s">
        <v>41</v>
      </c>
      <c r="M48" s="30" t="s">
        <v>17</v>
      </c>
      <c r="N48" s="39">
        <f>(Table1_1[[#This Row],[Likes]]+Table1_1[[#This Row],[Shares]]+Table1_1[[#This Row],[Comments]])/Table1_1[[#This Row],[Impressions]]</f>
        <v>0.13946227759085811</v>
      </c>
      <c r="O48" t="str">
        <f>IF(Table1_1[[#This Row],[Date]] &lt; DATE(2025,1,1),"Before","During")</f>
        <v>Before</v>
      </c>
    </row>
    <row r="49" spans="1:15">
      <c r="A49" s="30" t="s">
        <v>91</v>
      </c>
      <c r="B49" s="30" t="s">
        <v>14</v>
      </c>
      <c r="C49" s="44">
        <v>45707</v>
      </c>
      <c r="D49" s="30" t="s">
        <v>24</v>
      </c>
      <c r="E49" s="30" t="s">
        <v>45</v>
      </c>
      <c r="F49" s="30">
        <v>2422</v>
      </c>
      <c r="G49" s="30">
        <v>455</v>
      </c>
      <c r="H49" s="30">
        <v>376</v>
      </c>
      <c r="I49" s="30">
        <v>23428</v>
      </c>
      <c r="J49" s="30">
        <v>46775</v>
      </c>
      <c r="K49" s="30">
        <v>259</v>
      </c>
      <c r="L49" s="30" t="s">
        <v>38</v>
      </c>
      <c r="M49" s="30" t="s">
        <v>51</v>
      </c>
      <c r="N49" s="39">
        <f>(Table1_1[[#This Row],[Likes]]+Table1_1[[#This Row],[Shares]]+Table1_1[[#This Row],[Comments]])/Table1_1[[#This Row],[Impressions]]</f>
        <v>0.13885094758408742</v>
      </c>
      <c r="O49" t="str">
        <f>IF(Table1_1[[#This Row],[Date]] &lt; DATE(2025,1,1),"Before","During")</f>
        <v>During</v>
      </c>
    </row>
    <row r="50" spans="1:15">
      <c r="A50" s="30" t="s">
        <v>144</v>
      </c>
      <c r="B50" s="30" t="s">
        <v>14</v>
      </c>
      <c r="C50" s="44">
        <v>45617</v>
      </c>
      <c r="D50" s="30" t="s">
        <v>15</v>
      </c>
      <c r="E50" s="30" t="s">
        <v>30</v>
      </c>
      <c r="F50" s="30">
        <v>4581</v>
      </c>
      <c r="G50" s="30">
        <v>181</v>
      </c>
      <c r="H50" s="30">
        <v>112</v>
      </c>
      <c r="I50" s="30">
        <v>35221</v>
      </c>
      <c r="J50" s="30">
        <v>28797</v>
      </c>
      <c r="K50" s="30">
        <v>164</v>
      </c>
      <c r="L50" s="30" t="s">
        <v>41</v>
      </c>
      <c r="M50" s="30" t="s">
        <v>17</v>
      </c>
      <c r="N50" s="39">
        <f>(Table1_1[[#This Row],[Likes]]+Table1_1[[#This Row],[Shares]]+Table1_1[[#This Row],[Comments]])/Table1_1[[#This Row],[Impressions]]</f>
        <v>0.13838335084182732</v>
      </c>
      <c r="O50" t="str">
        <f>IF(Table1_1[[#This Row],[Date]] &lt; DATE(2025,1,1),"Before","During")</f>
        <v>Before</v>
      </c>
    </row>
    <row r="51" spans="1:15">
      <c r="A51" s="30" t="s">
        <v>131</v>
      </c>
      <c r="B51" s="30" t="s">
        <v>23</v>
      </c>
      <c r="C51" s="44">
        <v>45367</v>
      </c>
      <c r="D51" s="30" t="s">
        <v>24</v>
      </c>
      <c r="E51" s="30" t="s">
        <v>27</v>
      </c>
      <c r="F51" s="30">
        <v>2895</v>
      </c>
      <c r="G51" s="30">
        <v>292</v>
      </c>
      <c r="H51" s="30">
        <v>90</v>
      </c>
      <c r="I51" s="30">
        <v>24223</v>
      </c>
      <c r="J51" s="30">
        <v>54626</v>
      </c>
      <c r="K51" s="30">
        <v>114</v>
      </c>
      <c r="L51" s="30" t="s">
        <v>41</v>
      </c>
      <c r="M51" s="30" t="s">
        <v>17</v>
      </c>
      <c r="N51" s="39">
        <f>(Table1_1[[#This Row],[Likes]]+Table1_1[[#This Row],[Shares]]+Table1_1[[#This Row],[Comments]])/Table1_1[[#This Row],[Impressions]]</f>
        <v>0.13528464682326713</v>
      </c>
      <c r="O51" t="str">
        <f>IF(Table1_1[[#This Row],[Date]] &lt; DATE(2025,1,1),"Before","During")</f>
        <v>Before</v>
      </c>
    </row>
    <row r="52" spans="1:15">
      <c r="A52" s="30" t="s">
        <v>113</v>
      </c>
      <c r="B52" s="30" t="s">
        <v>23</v>
      </c>
      <c r="C52" s="44">
        <v>45678</v>
      </c>
      <c r="D52" s="30" t="s">
        <v>24</v>
      </c>
      <c r="E52" s="30" t="s">
        <v>16</v>
      </c>
      <c r="F52" s="30">
        <v>2494</v>
      </c>
      <c r="G52" s="30">
        <v>494</v>
      </c>
      <c r="H52" s="30">
        <v>55</v>
      </c>
      <c r="I52" s="30">
        <v>22580</v>
      </c>
      <c r="J52" s="30">
        <v>22214</v>
      </c>
      <c r="K52" s="30">
        <v>109</v>
      </c>
      <c r="L52" s="30" t="s">
        <v>368</v>
      </c>
      <c r="M52" s="30" t="s">
        <v>17</v>
      </c>
      <c r="N52" s="39">
        <f>(Table1_1[[#This Row],[Likes]]+Table1_1[[#This Row],[Shares]]+Table1_1[[#This Row],[Comments]])/Table1_1[[#This Row],[Impressions]]</f>
        <v>0.13476527900797167</v>
      </c>
      <c r="O52" t="str">
        <f>IF(Table1_1[[#This Row],[Date]] &lt; DATE(2025,1,1),"Before","During")</f>
        <v>During</v>
      </c>
    </row>
    <row r="53" spans="1:15">
      <c r="A53" s="30" t="s">
        <v>277</v>
      </c>
      <c r="B53" s="30" t="s">
        <v>23</v>
      </c>
      <c r="C53" s="44">
        <v>45759</v>
      </c>
      <c r="D53" s="30" t="s">
        <v>24</v>
      </c>
      <c r="E53" s="30" t="s">
        <v>45</v>
      </c>
      <c r="F53" s="30">
        <v>4315</v>
      </c>
      <c r="G53" s="30">
        <v>208</v>
      </c>
      <c r="H53" s="30">
        <v>273</v>
      </c>
      <c r="I53" s="30">
        <v>35780</v>
      </c>
      <c r="J53" s="30">
        <v>44349</v>
      </c>
      <c r="K53" s="30">
        <v>133</v>
      </c>
      <c r="L53" s="30" t="s">
        <v>20</v>
      </c>
      <c r="M53" s="30" t="s">
        <v>17</v>
      </c>
      <c r="N53" s="39">
        <f>(Table1_1[[#This Row],[Likes]]+Table1_1[[#This Row],[Shares]]+Table1_1[[#This Row],[Comments]])/Table1_1[[#This Row],[Impressions]]</f>
        <v>0.13404136389044158</v>
      </c>
      <c r="O53" t="str">
        <f>IF(Table1_1[[#This Row],[Date]] &lt; DATE(2025,1,1),"Before","During")</f>
        <v>During</v>
      </c>
    </row>
    <row r="54" spans="1:15">
      <c r="A54" s="30" t="s">
        <v>13</v>
      </c>
      <c r="B54" s="30" t="s">
        <v>14</v>
      </c>
      <c r="C54" s="44">
        <v>45781</v>
      </c>
      <c r="D54" s="30" t="s">
        <v>15</v>
      </c>
      <c r="E54" s="30" t="s">
        <v>16</v>
      </c>
      <c r="F54" s="30">
        <v>2414</v>
      </c>
      <c r="G54" s="30">
        <v>245</v>
      </c>
      <c r="H54" s="30">
        <v>137</v>
      </c>
      <c r="I54" s="30">
        <v>21181</v>
      </c>
      <c r="J54" s="30">
        <v>45292</v>
      </c>
      <c r="K54" s="30">
        <v>133</v>
      </c>
      <c r="L54" s="30" t="s">
        <v>41</v>
      </c>
      <c r="M54" s="30" t="s">
        <v>17</v>
      </c>
      <c r="N54" s="39">
        <f>(Table1_1[[#This Row],[Likes]]+Table1_1[[#This Row],[Shares]]+Table1_1[[#This Row],[Comments]])/Table1_1[[#This Row],[Impressions]]</f>
        <v>0.13200509890939993</v>
      </c>
      <c r="O54" t="str">
        <f>IF(Table1_1[[#This Row],[Date]] &lt; DATE(2025,1,1),"Before","During")</f>
        <v>During</v>
      </c>
    </row>
    <row r="55" spans="1:15">
      <c r="A55" s="30" t="s">
        <v>28</v>
      </c>
      <c r="B55" s="30" t="s">
        <v>29</v>
      </c>
      <c r="C55" s="44">
        <v>45388</v>
      </c>
      <c r="D55" s="30" t="s">
        <v>15</v>
      </c>
      <c r="E55" s="30" t="s">
        <v>30</v>
      </c>
      <c r="F55" s="30">
        <v>2748</v>
      </c>
      <c r="G55" s="30">
        <v>145</v>
      </c>
      <c r="H55" s="30">
        <v>315</v>
      </c>
      <c r="I55" s="30">
        <v>24401</v>
      </c>
      <c r="J55" s="30">
        <v>61182</v>
      </c>
      <c r="K55" s="30">
        <v>200</v>
      </c>
      <c r="L55" s="30" t="s">
        <v>20</v>
      </c>
      <c r="M55" s="30" t="s">
        <v>21</v>
      </c>
      <c r="N55" s="39">
        <f>(Table1_1[[#This Row],[Likes]]+Table1_1[[#This Row],[Shares]]+Table1_1[[#This Row],[Comments]])/Table1_1[[#This Row],[Impressions]]</f>
        <v>0.1314700217204213</v>
      </c>
      <c r="O55" t="str">
        <f>IF(Table1_1[[#This Row],[Date]] &lt; DATE(2025,1,1),"Before","During")</f>
        <v>Before</v>
      </c>
    </row>
    <row r="56" spans="1:15">
      <c r="A56" s="30" t="s">
        <v>272</v>
      </c>
      <c r="B56" s="30" t="s">
        <v>29</v>
      </c>
      <c r="C56" s="44">
        <v>45305</v>
      </c>
      <c r="D56" s="30" t="s">
        <v>15</v>
      </c>
      <c r="E56" s="30" t="s">
        <v>32</v>
      </c>
      <c r="F56" s="30">
        <v>4502</v>
      </c>
      <c r="G56" s="30">
        <v>238</v>
      </c>
      <c r="H56" s="30">
        <v>386</v>
      </c>
      <c r="I56" s="30">
        <v>39198</v>
      </c>
      <c r="J56" s="30">
        <v>25050</v>
      </c>
      <c r="K56" s="30">
        <v>297</v>
      </c>
      <c r="L56" s="30" t="s">
        <v>20</v>
      </c>
      <c r="M56" s="30" t="s">
        <v>21</v>
      </c>
      <c r="N56" s="39">
        <f>(Table1_1[[#This Row],[Likes]]+Table1_1[[#This Row],[Shares]]+Table1_1[[#This Row],[Comments]])/Table1_1[[#This Row],[Impressions]]</f>
        <v>0.13077197816215114</v>
      </c>
      <c r="O56" t="str">
        <f>IF(Table1_1[[#This Row],[Date]] &lt; DATE(2025,1,1),"Before","During")</f>
        <v>Before</v>
      </c>
    </row>
    <row r="57" spans="1:15">
      <c r="A57" s="30" t="s">
        <v>39</v>
      </c>
      <c r="B57" s="30" t="s">
        <v>23</v>
      </c>
      <c r="C57" s="44">
        <v>45630</v>
      </c>
      <c r="D57" s="30" t="s">
        <v>15</v>
      </c>
      <c r="E57" s="30" t="s">
        <v>27</v>
      </c>
      <c r="F57" s="30">
        <v>2357</v>
      </c>
      <c r="G57" s="30">
        <v>274</v>
      </c>
      <c r="H57" s="30">
        <v>172</v>
      </c>
      <c r="I57" s="30">
        <v>21566</v>
      </c>
      <c r="J57" s="30">
        <v>66829</v>
      </c>
      <c r="K57" s="30">
        <v>284</v>
      </c>
      <c r="L57" s="30" t="s">
        <v>38</v>
      </c>
      <c r="M57" s="30" t="s">
        <v>17</v>
      </c>
      <c r="N57" s="39">
        <f>(Table1_1[[#This Row],[Likes]]+Table1_1[[#This Row],[Shares]]+Table1_1[[#This Row],[Comments]])/Table1_1[[#This Row],[Impressions]]</f>
        <v>0.12997310581470833</v>
      </c>
      <c r="O57" t="str">
        <f>IF(Table1_1[[#This Row],[Date]] &lt; DATE(2025,1,1),"Before","During")</f>
        <v>Before</v>
      </c>
    </row>
    <row r="58" spans="1:15">
      <c r="A58" s="30" t="s">
        <v>327</v>
      </c>
      <c r="B58" s="30" t="s">
        <v>23</v>
      </c>
      <c r="C58" s="44">
        <v>45599</v>
      </c>
      <c r="D58" s="30" t="s">
        <v>24</v>
      </c>
      <c r="E58" s="30" t="s">
        <v>19</v>
      </c>
      <c r="F58" s="30">
        <v>3061</v>
      </c>
      <c r="G58" s="30">
        <v>320</v>
      </c>
      <c r="H58" s="30">
        <v>76</v>
      </c>
      <c r="I58" s="30">
        <v>26640</v>
      </c>
      <c r="J58" s="30">
        <v>24306</v>
      </c>
      <c r="K58" s="30">
        <v>112</v>
      </c>
      <c r="L58" s="30" t="s">
        <v>368</v>
      </c>
      <c r="M58" s="30" t="s">
        <v>17</v>
      </c>
      <c r="N58" s="39">
        <f>(Table1_1[[#This Row],[Likes]]+Table1_1[[#This Row],[Shares]]+Table1_1[[#This Row],[Comments]])/Table1_1[[#This Row],[Impressions]]</f>
        <v>0.12976726726726726</v>
      </c>
      <c r="O58" t="str">
        <f>IF(Table1_1[[#This Row],[Date]] &lt; DATE(2025,1,1),"Before","During")</f>
        <v>Before</v>
      </c>
    </row>
    <row r="59" spans="1:15">
      <c r="A59" s="30" t="s">
        <v>222</v>
      </c>
      <c r="B59" s="30" t="s">
        <v>29</v>
      </c>
      <c r="C59" s="44">
        <v>45795</v>
      </c>
      <c r="D59" s="30" t="s">
        <v>53</v>
      </c>
      <c r="E59" s="30" t="s">
        <v>27</v>
      </c>
      <c r="F59" s="30">
        <v>4210</v>
      </c>
      <c r="G59" s="30">
        <v>319</v>
      </c>
      <c r="H59" s="30">
        <v>350</v>
      </c>
      <c r="I59" s="30">
        <v>37762</v>
      </c>
      <c r="J59" s="30">
        <v>55162</v>
      </c>
      <c r="K59" s="30">
        <v>204</v>
      </c>
      <c r="L59" s="30" t="s">
        <v>20</v>
      </c>
      <c r="M59" s="30" t="s">
        <v>54</v>
      </c>
      <c r="N59" s="39">
        <f>(Table1_1[[#This Row],[Likes]]+Table1_1[[#This Row],[Shares]]+Table1_1[[#This Row],[Comments]])/Table1_1[[#This Row],[Impressions]]</f>
        <v>0.12920396165457337</v>
      </c>
      <c r="O59" t="str">
        <f>IF(Table1_1[[#This Row],[Date]] &lt; DATE(2025,1,1),"Before","During")</f>
        <v>During</v>
      </c>
    </row>
    <row r="60" spans="1:15">
      <c r="A60" s="30" t="s">
        <v>256</v>
      </c>
      <c r="B60" s="30" t="s">
        <v>23</v>
      </c>
      <c r="C60" s="44">
        <v>45786</v>
      </c>
      <c r="D60" s="30" t="s">
        <v>24</v>
      </c>
      <c r="E60" s="30" t="s">
        <v>30</v>
      </c>
      <c r="F60" s="30">
        <v>2778</v>
      </c>
      <c r="G60" s="30">
        <v>241</v>
      </c>
      <c r="H60" s="30">
        <v>317</v>
      </c>
      <c r="I60" s="30">
        <v>26247</v>
      </c>
      <c r="J60" s="30">
        <v>20677</v>
      </c>
      <c r="K60" s="30">
        <v>282</v>
      </c>
      <c r="L60" s="30" t="s">
        <v>368</v>
      </c>
      <c r="M60" s="30" t="s">
        <v>17</v>
      </c>
      <c r="N60" s="39">
        <f>(Table1_1[[#This Row],[Likes]]+Table1_1[[#This Row],[Shares]]+Table1_1[[#This Row],[Comments]])/Table1_1[[#This Row],[Impressions]]</f>
        <v>0.1271002400274317</v>
      </c>
      <c r="O60" t="str">
        <f>IF(Table1_1[[#This Row],[Date]] &lt; DATE(2025,1,1),"Before","During")</f>
        <v>During</v>
      </c>
    </row>
    <row r="61" spans="1:15">
      <c r="A61" s="30" t="s">
        <v>249</v>
      </c>
      <c r="B61" s="30" t="s">
        <v>23</v>
      </c>
      <c r="C61" s="44">
        <v>45574</v>
      </c>
      <c r="D61" s="30" t="s">
        <v>15</v>
      </c>
      <c r="E61" s="30" t="s">
        <v>27</v>
      </c>
      <c r="F61" s="30">
        <v>2659</v>
      </c>
      <c r="G61" s="30">
        <v>167</v>
      </c>
      <c r="H61" s="30">
        <v>73</v>
      </c>
      <c r="I61" s="30">
        <v>23090</v>
      </c>
      <c r="J61" s="30">
        <v>25872</v>
      </c>
      <c r="K61" s="30">
        <v>293</v>
      </c>
      <c r="L61" s="30" t="s">
        <v>41</v>
      </c>
      <c r="M61" s="30" t="s">
        <v>21</v>
      </c>
      <c r="N61" s="39">
        <f>(Table1_1[[#This Row],[Likes]]+Table1_1[[#This Row],[Shares]]+Table1_1[[#This Row],[Comments]])/Table1_1[[#This Row],[Impressions]]</f>
        <v>0.12555218709398008</v>
      </c>
      <c r="O61" t="str">
        <f>IF(Table1_1[[#This Row],[Date]] &lt; DATE(2025,1,1),"Before","During")</f>
        <v>Before</v>
      </c>
    </row>
    <row r="62" spans="1:15">
      <c r="A62" s="30" t="s">
        <v>253</v>
      </c>
      <c r="B62" s="30" t="s">
        <v>23</v>
      </c>
      <c r="C62" s="44">
        <v>45579</v>
      </c>
      <c r="D62" s="30" t="s">
        <v>24</v>
      </c>
      <c r="E62" s="30" t="s">
        <v>19</v>
      </c>
      <c r="F62" s="30">
        <v>4303</v>
      </c>
      <c r="G62" s="30">
        <v>306</v>
      </c>
      <c r="H62" s="30">
        <v>302</v>
      </c>
      <c r="I62" s="30">
        <v>39575</v>
      </c>
      <c r="J62" s="30">
        <v>33762</v>
      </c>
      <c r="K62" s="30">
        <v>265</v>
      </c>
      <c r="L62" s="30" t="s">
        <v>20</v>
      </c>
      <c r="M62" s="30" t="s">
        <v>17</v>
      </c>
      <c r="N62" s="39">
        <f>(Table1_1[[#This Row],[Likes]]+Table1_1[[#This Row],[Shares]]+Table1_1[[#This Row],[Comments]])/Table1_1[[#This Row],[Impressions]]</f>
        <v>0.12409349336702463</v>
      </c>
      <c r="O62" t="str">
        <f>IF(Table1_1[[#This Row],[Date]] &lt; DATE(2025,1,1),"Before","During")</f>
        <v>Before</v>
      </c>
    </row>
    <row r="63" spans="1:15">
      <c r="A63" s="30" t="s">
        <v>262</v>
      </c>
      <c r="B63" s="30" t="s">
        <v>29</v>
      </c>
      <c r="C63" s="44">
        <v>45738</v>
      </c>
      <c r="D63" s="30" t="s">
        <v>15</v>
      </c>
      <c r="E63" s="30" t="s">
        <v>30</v>
      </c>
      <c r="F63" s="30">
        <v>4308</v>
      </c>
      <c r="G63" s="30">
        <v>171</v>
      </c>
      <c r="H63" s="30">
        <v>106</v>
      </c>
      <c r="I63" s="30">
        <v>36955</v>
      </c>
      <c r="J63" s="30">
        <v>23949</v>
      </c>
      <c r="K63" s="30">
        <v>294</v>
      </c>
      <c r="L63" s="30" t="s">
        <v>20</v>
      </c>
      <c r="M63" s="30" t="s">
        <v>21</v>
      </c>
      <c r="N63" s="39">
        <f>(Table1_1[[#This Row],[Likes]]+Table1_1[[#This Row],[Shares]]+Table1_1[[#This Row],[Comments]])/Table1_1[[#This Row],[Impressions]]</f>
        <v>0.12406981463942633</v>
      </c>
      <c r="O63" t="str">
        <f>IF(Table1_1[[#This Row],[Date]] &lt; DATE(2025,1,1),"Before","During")</f>
        <v>During</v>
      </c>
    </row>
    <row r="64" spans="1:15">
      <c r="A64" s="30" t="s">
        <v>297</v>
      </c>
      <c r="B64" s="30" t="s">
        <v>23</v>
      </c>
      <c r="C64" s="44">
        <v>45626</v>
      </c>
      <c r="D64" s="30" t="s">
        <v>24</v>
      </c>
      <c r="E64" s="30" t="s">
        <v>19</v>
      </c>
      <c r="F64" s="30">
        <v>4963</v>
      </c>
      <c r="G64" s="30">
        <v>255</v>
      </c>
      <c r="H64" s="30">
        <v>193</v>
      </c>
      <c r="I64" s="30">
        <v>44386</v>
      </c>
      <c r="J64" s="30">
        <v>28415</v>
      </c>
      <c r="K64" s="30">
        <v>174</v>
      </c>
      <c r="L64" s="30" t="s">
        <v>368</v>
      </c>
      <c r="M64" s="30" t="s">
        <v>17</v>
      </c>
      <c r="N64" s="39">
        <f>(Table1_1[[#This Row],[Likes]]+Table1_1[[#This Row],[Shares]]+Table1_1[[#This Row],[Comments]])/Table1_1[[#This Row],[Impressions]]</f>
        <v>0.12190780876853062</v>
      </c>
      <c r="O64" t="str">
        <f>IF(Table1_1[[#This Row],[Date]] &lt; DATE(2025,1,1),"Before","During")</f>
        <v>Before</v>
      </c>
    </row>
    <row r="65" spans="1:15">
      <c r="A65" s="30" t="s">
        <v>26</v>
      </c>
      <c r="B65" s="30" t="s">
        <v>14</v>
      </c>
      <c r="C65" s="44">
        <v>45629</v>
      </c>
      <c r="D65" s="30" t="s">
        <v>15</v>
      </c>
      <c r="E65" s="30" t="s">
        <v>27</v>
      </c>
      <c r="F65" s="30">
        <v>3173</v>
      </c>
      <c r="G65" s="30">
        <v>229</v>
      </c>
      <c r="H65" s="30">
        <v>197</v>
      </c>
      <c r="I65" s="30">
        <v>29604</v>
      </c>
      <c r="J65" s="30">
        <v>21809</v>
      </c>
      <c r="K65" s="30">
        <v>272</v>
      </c>
      <c r="L65" s="30" t="s">
        <v>41</v>
      </c>
      <c r="M65" s="30" t="s">
        <v>17</v>
      </c>
      <c r="N65" s="39">
        <f>(Table1_1[[#This Row],[Likes]]+Table1_1[[#This Row],[Shares]]+Table1_1[[#This Row],[Comments]])/Table1_1[[#This Row],[Impressions]]</f>
        <v>0.1215714092690177</v>
      </c>
      <c r="O65" t="str">
        <f>IF(Table1_1[[#This Row],[Date]] &lt; DATE(2025,1,1),"Before","During")</f>
        <v>Before</v>
      </c>
    </row>
    <row r="66" spans="1:15">
      <c r="A66" s="30" t="s">
        <v>331</v>
      </c>
      <c r="B66" s="30" t="s">
        <v>23</v>
      </c>
      <c r="C66" s="44">
        <v>45736</v>
      </c>
      <c r="D66" s="30" t="s">
        <v>24</v>
      </c>
      <c r="E66" s="30" t="s">
        <v>47</v>
      </c>
      <c r="F66" s="30">
        <v>3393</v>
      </c>
      <c r="G66" s="30">
        <v>104</v>
      </c>
      <c r="H66" s="30">
        <v>79</v>
      </c>
      <c r="I66" s="30">
        <v>30025</v>
      </c>
      <c r="J66" s="30">
        <v>21593</v>
      </c>
      <c r="K66" s="30">
        <v>165</v>
      </c>
      <c r="L66" s="30" t="s">
        <v>368</v>
      </c>
      <c r="M66" s="30" t="s">
        <v>17</v>
      </c>
      <c r="N66" s="39">
        <f>(Table1_1[[#This Row],[Likes]]+Table1_1[[#This Row],[Shares]]+Table1_1[[#This Row],[Comments]])/Table1_1[[#This Row],[Impressions]]</f>
        <v>0.1191007493755204</v>
      </c>
      <c r="O66" t="str">
        <f>IF(Table1_1[[#This Row],[Date]] &lt; DATE(2025,1,1),"Before","During")</f>
        <v>During</v>
      </c>
    </row>
    <row r="67" spans="1:15">
      <c r="A67" s="30" t="s">
        <v>78</v>
      </c>
      <c r="B67" s="30" t="s">
        <v>14</v>
      </c>
      <c r="C67" s="44">
        <v>45702</v>
      </c>
      <c r="D67" s="30" t="s">
        <v>15</v>
      </c>
      <c r="E67" s="30" t="s">
        <v>37</v>
      </c>
      <c r="F67" s="30">
        <v>4891</v>
      </c>
      <c r="G67" s="30">
        <v>450</v>
      </c>
      <c r="H67" s="30">
        <v>387</v>
      </c>
      <c r="I67" s="30">
        <v>48746</v>
      </c>
      <c r="J67" s="30">
        <v>37312</v>
      </c>
      <c r="K67" s="30">
        <v>154</v>
      </c>
      <c r="L67" s="30" t="s">
        <v>41</v>
      </c>
      <c r="M67" s="30" t="s">
        <v>17</v>
      </c>
      <c r="N67" s="39">
        <f>(Table1_1[[#This Row],[Likes]]+Table1_1[[#This Row],[Shares]]+Table1_1[[#This Row],[Comments]])/Table1_1[[#This Row],[Impressions]]</f>
        <v>0.11750707750379519</v>
      </c>
      <c r="O67" t="str">
        <f>IF(Table1_1[[#This Row],[Date]] &lt; DATE(2025,1,1),"Before","During")</f>
        <v>During</v>
      </c>
    </row>
    <row r="68" spans="1:15">
      <c r="A68" s="30" t="s">
        <v>177</v>
      </c>
      <c r="B68" s="30" t="s">
        <v>14</v>
      </c>
      <c r="C68" s="44">
        <v>45647</v>
      </c>
      <c r="D68" s="30" t="s">
        <v>24</v>
      </c>
      <c r="E68" s="30" t="s">
        <v>25</v>
      </c>
      <c r="F68" s="30">
        <v>4563</v>
      </c>
      <c r="G68" s="30">
        <v>398</v>
      </c>
      <c r="H68" s="30">
        <v>163</v>
      </c>
      <c r="I68" s="30">
        <v>43679</v>
      </c>
      <c r="J68" s="30">
        <v>48760</v>
      </c>
      <c r="K68" s="30">
        <v>92</v>
      </c>
      <c r="L68" s="30" t="s">
        <v>38</v>
      </c>
      <c r="M68" s="30" t="s">
        <v>51</v>
      </c>
      <c r="N68" s="39">
        <f>(Table1_1[[#This Row],[Likes]]+Table1_1[[#This Row],[Shares]]+Table1_1[[#This Row],[Comments]])/Table1_1[[#This Row],[Impressions]]</f>
        <v>0.11731037798484398</v>
      </c>
      <c r="O68" t="str">
        <f>IF(Table1_1[[#This Row],[Date]] &lt; DATE(2025,1,1),"Before","During")</f>
        <v>Before</v>
      </c>
    </row>
    <row r="69" spans="1:15">
      <c r="A69" s="30" t="s">
        <v>301</v>
      </c>
      <c r="B69" s="30" t="s">
        <v>14</v>
      </c>
      <c r="C69" s="44">
        <v>45442</v>
      </c>
      <c r="D69" s="30" t="s">
        <v>24</v>
      </c>
      <c r="E69" s="30" t="s">
        <v>34</v>
      </c>
      <c r="F69" s="30">
        <v>2448</v>
      </c>
      <c r="G69" s="30">
        <v>464</v>
      </c>
      <c r="H69" s="30">
        <v>98</v>
      </c>
      <c r="I69" s="30">
        <v>25737</v>
      </c>
      <c r="J69" s="30">
        <v>48545</v>
      </c>
      <c r="K69" s="30">
        <v>246</v>
      </c>
      <c r="L69" s="30" t="s">
        <v>38</v>
      </c>
      <c r="M69" s="30" t="s">
        <v>51</v>
      </c>
      <c r="N69" s="39">
        <f>(Table1_1[[#This Row],[Likes]]+Table1_1[[#This Row],[Shares]]+Table1_1[[#This Row],[Comments]])/Table1_1[[#This Row],[Impressions]]</f>
        <v>0.11695224773672146</v>
      </c>
      <c r="O69" t="str">
        <f>IF(Table1_1[[#This Row],[Date]] &lt; DATE(2025,1,1),"Before","During")</f>
        <v>Before</v>
      </c>
    </row>
    <row r="70" spans="1:15">
      <c r="A70" s="30" t="s">
        <v>174</v>
      </c>
      <c r="B70" s="30" t="s">
        <v>23</v>
      </c>
      <c r="C70" s="44">
        <v>45725</v>
      </c>
      <c r="D70" s="30" t="s">
        <v>15</v>
      </c>
      <c r="E70" s="30" t="s">
        <v>47</v>
      </c>
      <c r="F70" s="30">
        <v>2754</v>
      </c>
      <c r="G70" s="30">
        <v>215</v>
      </c>
      <c r="H70" s="30">
        <v>264</v>
      </c>
      <c r="I70" s="30">
        <v>27762</v>
      </c>
      <c r="J70" s="30">
        <v>70203</v>
      </c>
      <c r="K70" s="30">
        <v>289</v>
      </c>
      <c r="L70" s="30" t="s">
        <v>38</v>
      </c>
      <c r="M70" s="30" t="s">
        <v>17</v>
      </c>
      <c r="N70" s="39">
        <f>(Table1_1[[#This Row],[Likes]]+Table1_1[[#This Row],[Shares]]+Table1_1[[#This Row],[Comments]])/Table1_1[[#This Row],[Impressions]]</f>
        <v>0.11645414595490239</v>
      </c>
      <c r="O70" t="str">
        <f>IF(Table1_1[[#This Row],[Date]] &lt; DATE(2025,1,1),"Before","During")</f>
        <v>During</v>
      </c>
    </row>
    <row r="71" spans="1:15">
      <c r="A71" s="30" t="s">
        <v>80</v>
      </c>
      <c r="B71" s="30" t="s">
        <v>29</v>
      </c>
      <c r="C71" s="44">
        <v>45487</v>
      </c>
      <c r="D71" s="30" t="s">
        <v>15</v>
      </c>
      <c r="E71" s="30" t="s">
        <v>47</v>
      </c>
      <c r="F71" s="30">
        <v>3806</v>
      </c>
      <c r="G71" s="30">
        <v>114</v>
      </c>
      <c r="H71" s="30">
        <v>278</v>
      </c>
      <c r="I71" s="30">
        <v>36148</v>
      </c>
      <c r="J71" s="30">
        <v>24209</v>
      </c>
      <c r="K71" s="30">
        <v>201</v>
      </c>
      <c r="L71" s="30" t="s">
        <v>20</v>
      </c>
      <c r="M71" s="30" t="s">
        <v>21</v>
      </c>
      <c r="N71" s="39">
        <f>(Table1_1[[#This Row],[Likes]]+Table1_1[[#This Row],[Shares]]+Table1_1[[#This Row],[Comments]])/Table1_1[[#This Row],[Impressions]]</f>
        <v>0.11613367267898639</v>
      </c>
      <c r="O71" t="str">
        <f>IF(Table1_1[[#This Row],[Date]] &lt; DATE(2025,1,1),"Before","During")</f>
        <v>Before</v>
      </c>
    </row>
    <row r="72" spans="1:15">
      <c r="A72" s="30" t="s">
        <v>180</v>
      </c>
      <c r="B72" s="30" t="s">
        <v>23</v>
      </c>
      <c r="C72" s="44">
        <v>45805</v>
      </c>
      <c r="D72" s="30" t="s">
        <v>24</v>
      </c>
      <c r="E72" s="30" t="s">
        <v>37</v>
      </c>
      <c r="F72" s="30">
        <v>4287</v>
      </c>
      <c r="G72" s="30">
        <v>273</v>
      </c>
      <c r="H72" s="30">
        <v>122</v>
      </c>
      <c r="I72" s="30">
        <v>40792</v>
      </c>
      <c r="J72" s="30">
        <v>23878</v>
      </c>
      <c r="K72" s="30">
        <v>277</v>
      </c>
      <c r="L72" s="30" t="s">
        <v>368</v>
      </c>
      <c r="M72" s="30" t="s">
        <v>17</v>
      </c>
      <c r="N72" s="39">
        <f>(Table1_1[[#This Row],[Likes]]+Table1_1[[#This Row],[Shares]]+Table1_1[[#This Row],[Comments]])/Table1_1[[#This Row],[Impressions]]</f>
        <v>0.11477740733477153</v>
      </c>
      <c r="O72" t="str">
        <f>IF(Table1_1[[#This Row],[Date]] &lt; DATE(2025,1,1),"Before","During")</f>
        <v>During</v>
      </c>
    </row>
    <row r="73" spans="1:15">
      <c r="A73" s="30" t="s">
        <v>321</v>
      </c>
      <c r="B73" s="30" t="s">
        <v>14</v>
      </c>
      <c r="C73" s="44">
        <v>45413</v>
      </c>
      <c r="D73" s="30" t="s">
        <v>15</v>
      </c>
      <c r="E73" s="30" t="s">
        <v>34</v>
      </c>
      <c r="F73" s="30">
        <v>3359</v>
      </c>
      <c r="G73" s="30">
        <v>137</v>
      </c>
      <c r="H73" s="30">
        <v>387</v>
      </c>
      <c r="I73" s="30">
        <v>33861</v>
      </c>
      <c r="J73" s="30">
        <v>47257</v>
      </c>
      <c r="K73" s="30">
        <v>198</v>
      </c>
      <c r="L73" s="30" t="s">
        <v>20</v>
      </c>
      <c r="M73" s="30" t="s">
        <v>21</v>
      </c>
      <c r="N73" s="39">
        <f>(Table1_1[[#This Row],[Likes]]+Table1_1[[#This Row],[Shares]]+Table1_1[[#This Row],[Comments]])/Table1_1[[#This Row],[Impressions]]</f>
        <v>0.11467469950680724</v>
      </c>
      <c r="O73" t="str">
        <f>IF(Table1_1[[#This Row],[Date]] &lt; DATE(2025,1,1),"Before","During")</f>
        <v>Before</v>
      </c>
    </row>
    <row r="74" spans="1:15">
      <c r="A74" s="30" t="s">
        <v>62</v>
      </c>
      <c r="B74" s="30" t="s">
        <v>14</v>
      </c>
      <c r="C74" s="44">
        <v>45625</v>
      </c>
      <c r="D74" s="30" t="s">
        <v>15</v>
      </c>
      <c r="E74" s="30" t="s">
        <v>32</v>
      </c>
      <c r="F74" s="30">
        <v>2824</v>
      </c>
      <c r="G74" s="30">
        <v>425</v>
      </c>
      <c r="H74" s="30">
        <v>274</v>
      </c>
      <c r="I74" s="30">
        <v>31004</v>
      </c>
      <c r="J74" s="30">
        <v>53488</v>
      </c>
      <c r="K74" s="30">
        <v>268</v>
      </c>
      <c r="L74" s="30" t="s">
        <v>41</v>
      </c>
      <c r="M74" s="30" t="s">
        <v>17</v>
      </c>
      <c r="N74" s="39">
        <f>(Table1_1[[#This Row],[Likes]]+Table1_1[[#This Row],[Shares]]+Table1_1[[#This Row],[Comments]])/Table1_1[[#This Row],[Impressions]]</f>
        <v>0.11363049929041415</v>
      </c>
      <c r="O74" t="str">
        <f>IF(Table1_1[[#This Row],[Date]] &lt; DATE(2025,1,1),"Before","During")</f>
        <v>Before</v>
      </c>
    </row>
    <row r="75" spans="1:15">
      <c r="A75" s="30" t="s">
        <v>224</v>
      </c>
      <c r="B75" s="30" t="s">
        <v>29</v>
      </c>
      <c r="C75" s="44">
        <v>45708</v>
      </c>
      <c r="D75" s="30" t="s">
        <v>53</v>
      </c>
      <c r="E75" s="30" t="s">
        <v>34</v>
      </c>
      <c r="F75" s="30">
        <v>4957</v>
      </c>
      <c r="G75" s="30">
        <v>262</v>
      </c>
      <c r="H75" s="30">
        <v>365</v>
      </c>
      <c r="I75" s="30">
        <v>49199</v>
      </c>
      <c r="J75" s="30">
        <v>40314</v>
      </c>
      <c r="K75" s="30">
        <v>216</v>
      </c>
      <c r="L75" s="30" t="s">
        <v>20</v>
      </c>
      <c r="M75" s="30" t="s">
        <v>54</v>
      </c>
      <c r="N75" s="39">
        <f>(Table1_1[[#This Row],[Likes]]+Table1_1[[#This Row],[Shares]]+Table1_1[[#This Row],[Comments]])/Table1_1[[#This Row],[Impressions]]</f>
        <v>0.11349824183418362</v>
      </c>
      <c r="O75" t="str">
        <f>IF(Table1_1[[#This Row],[Date]] &lt; DATE(2025,1,1),"Before","During")</f>
        <v>During</v>
      </c>
    </row>
    <row r="76" spans="1:15">
      <c r="A76" s="30" t="s">
        <v>46</v>
      </c>
      <c r="B76" s="30" t="s">
        <v>23</v>
      </c>
      <c r="C76" s="44">
        <v>45418</v>
      </c>
      <c r="D76" s="30" t="s">
        <v>15</v>
      </c>
      <c r="E76" s="30" t="s">
        <v>47</v>
      </c>
      <c r="F76" s="30">
        <v>3476</v>
      </c>
      <c r="G76" s="30">
        <v>355</v>
      </c>
      <c r="H76" s="30">
        <v>396</v>
      </c>
      <c r="I76" s="30">
        <v>37492</v>
      </c>
      <c r="J76" s="30">
        <v>27285</v>
      </c>
      <c r="K76" s="30">
        <v>179</v>
      </c>
      <c r="L76" s="30" t="s">
        <v>38</v>
      </c>
      <c r="M76" s="30" t="s">
        <v>17</v>
      </c>
      <c r="N76" s="39">
        <f>(Table1_1[[#This Row],[Likes]]+Table1_1[[#This Row],[Shares]]+Table1_1[[#This Row],[Comments]])/Table1_1[[#This Row],[Impressions]]</f>
        <v>0.11274405206444041</v>
      </c>
      <c r="O76" t="str">
        <f>IF(Table1_1[[#This Row],[Date]] &lt; DATE(2025,1,1),"Before","During")</f>
        <v>Before</v>
      </c>
    </row>
    <row r="77" spans="1:15">
      <c r="A77" s="30" t="s">
        <v>197</v>
      </c>
      <c r="B77" s="30" t="s">
        <v>14</v>
      </c>
      <c r="C77" s="44">
        <v>45610</v>
      </c>
      <c r="D77" s="30" t="s">
        <v>15</v>
      </c>
      <c r="E77" s="30" t="s">
        <v>30</v>
      </c>
      <c r="F77" s="30">
        <v>2422</v>
      </c>
      <c r="G77" s="30">
        <v>318</v>
      </c>
      <c r="H77" s="30">
        <v>118</v>
      </c>
      <c r="I77" s="30">
        <v>25386</v>
      </c>
      <c r="J77" s="30">
        <v>20873</v>
      </c>
      <c r="K77" s="30">
        <v>100</v>
      </c>
      <c r="L77" s="30" t="s">
        <v>41</v>
      </c>
      <c r="M77" s="30" t="s">
        <v>17</v>
      </c>
      <c r="N77" s="39">
        <f>(Table1_1[[#This Row],[Likes]]+Table1_1[[#This Row],[Shares]]+Table1_1[[#This Row],[Comments]])/Table1_1[[#This Row],[Impressions]]</f>
        <v>0.11258173796580792</v>
      </c>
      <c r="O77" t="str">
        <f>IF(Table1_1[[#This Row],[Date]] &lt; DATE(2025,1,1),"Before","During")</f>
        <v>Before</v>
      </c>
    </row>
    <row r="78" spans="1:15">
      <c r="A78" s="30" t="s">
        <v>315</v>
      </c>
      <c r="B78" s="30" t="s">
        <v>23</v>
      </c>
      <c r="C78" s="44">
        <v>45563</v>
      </c>
      <c r="D78" s="30" t="s">
        <v>24</v>
      </c>
      <c r="E78" s="30" t="s">
        <v>27</v>
      </c>
      <c r="F78" s="30">
        <v>4471</v>
      </c>
      <c r="G78" s="30">
        <v>317</v>
      </c>
      <c r="H78" s="30">
        <v>249</v>
      </c>
      <c r="I78" s="30">
        <v>44862</v>
      </c>
      <c r="J78" s="30">
        <v>33365</v>
      </c>
      <c r="K78" s="30">
        <v>184</v>
      </c>
      <c r="L78" s="30" t="s">
        <v>20</v>
      </c>
      <c r="M78" s="30" t="s">
        <v>17</v>
      </c>
      <c r="N78" s="39">
        <f>(Table1_1[[#This Row],[Likes]]+Table1_1[[#This Row],[Shares]]+Table1_1[[#This Row],[Comments]])/Table1_1[[#This Row],[Impressions]]</f>
        <v>0.1122776514644911</v>
      </c>
      <c r="O78" t="str">
        <f>IF(Table1_1[[#This Row],[Date]] &lt; DATE(2025,1,1),"Before","During")</f>
        <v>Before</v>
      </c>
    </row>
    <row r="79" spans="1:15">
      <c r="A79" s="30" t="s">
        <v>259</v>
      </c>
      <c r="B79" s="30" t="s">
        <v>23</v>
      </c>
      <c r="C79" s="44">
        <v>45636</v>
      </c>
      <c r="D79" s="30" t="s">
        <v>15</v>
      </c>
      <c r="E79" s="30" t="s">
        <v>45</v>
      </c>
      <c r="F79" s="30">
        <v>4673</v>
      </c>
      <c r="G79" s="30">
        <v>270</v>
      </c>
      <c r="H79" s="30">
        <v>93</v>
      </c>
      <c r="I79" s="30">
        <v>45260</v>
      </c>
      <c r="J79" s="30">
        <v>57513</v>
      </c>
      <c r="K79" s="30">
        <v>103</v>
      </c>
      <c r="L79" s="30" t="s">
        <v>38</v>
      </c>
      <c r="M79" s="30" t="s">
        <v>17</v>
      </c>
      <c r="N79" s="39">
        <f>(Table1_1[[#This Row],[Likes]]+Table1_1[[#This Row],[Shares]]+Table1_1[[#This Row],[Comments]])/Table1_1[[#This Row],[Impressions]]</f>
        <v>0.11126822801590809</v>
      </c>
      <c r="O79" t="str">
        <f>IF(Table1_1[[#This Row],[Date]] &lt; DATE(2025,1,1),"Before","During")</f>
        <v>Before</v>
      </c>
    </row>
    <row r="80" spans="1:15">
      <c r="A80" s="30" t="s">
        <v>95</v>
      </c>
      <c r="B80" s="30" t="s">
        <v>29</v>
      </c>
      <c r="C80" s="44">
        <v>45398</v>
      </c>
      <c r="D80" s="30" t="s">
        <v>15</v>
      </c>
      <c r="E80" s="30" t="s">
        <v>16</v>
      </c>
      <c r="F80" s="30">
        <v>4674</v>
      </c>
      <c r="G80" s="30">
        <v>326</v>
      </c>
      <c r="H80" s="30">
        <v>62</v>
      </c>
      <c r="I80" s="30">
        <v>45503</v>
      </c>
      <c r="J80" s="30">
        <v>46814</v>
      </c>
      <c r="K80" s="30">
        <v>116</v>
      </c>
      <c r="L80" s="30" t="s">
        <v>20</v>
      </c>
      <c r="M80" s="30" t="s">
        <v>21</v>
      </c>
      <c r="N80" s="39">
        <f>(Table1_1[[#This Row],[Likes]]+Table1_1[[#This Row],[Shares]]+Table1_1[[#This Row],[Comments]])/Table1_1[[#This Row],[Impressions]]</f>
        <v>0.11124541239039185</v>
      </c>
      <c r="O80" t="str">
        <f>IF(Table1_1[[#This Row],[Date]] &lt; DATE(2025,1,1),"Before","During")</f>
        <v>Before</v>
      </c>
    </row>
    <row r="81" spans="1:15">
      <c r="A81" s="30" t="s">
        <v>330</v>
      </c>
      <c r="B81" s="30" t="s">
        <v>14</v>
      </c>
      <c r="C81" s="44">
        <v>45724</v>
      </c>
      <c r="D81" s="30" t="s">
        <v>24</v>
      </c>
      <c r="E81" s="30" t="s">
        <v>37</v>
      </c>
      <c r="F81" s="30">
        <v>2244</v>
      </c>
      <c r="G81" s="30">
        <v>392</v>
      </c>
      <c r="H81" s="30">
        <v>231</v>
      </c>
      <c r="I81" s="30">
        <v>25834</v>
      </c>
      <c r="J81" s="30">
        <v>50906</v>
      </c>
      <c r="K81" s="30">
        <v>165</v>
      </c>
      <c r="L81" s="30" t="s">
        <v>38</v>
      </c>
      <c r="M81" s="30" t="s">
        <v>51</v>
      </c>
      <c r="N81" s="39">
        <f>(Table1_1[[#This Row],[Likes]]+Table1_1[[#This Row],[Shares]]+Table1_1[[#This Row],[Comments]])/Table1_1[[#This Row],[Impressions]]</f>
        <v>0.1109777812185492</v>
      </c>
      <c r="O81" t="str">
        <f>IF(Table1_1[[#This Row],[Date]] &lt; DATE(2025,1,1),"Before","During")</f>
        <v>During</v>
      </c>
    </row>
    <row r="82" spans="1:15">
      <c r="A82" s="30" t="s">
        <v>198</v>
      </c>
      <c r="B82" s="30" t="s">
        <v>29</v>
      </c>
      <c r="C82" s="44">
        <v>45513</v>
      </c>
      <c r="D82" s="30" t="s">
        <v>53</v>
      </c>
      <c r="E82" s="30" t="s">
        <v>45</v>
      </c>
      <c r="F82" s="30">
        <v>3414</v>
      </c>
      <c r="G82" s="30">
        <v>154</v>
      </c>
      <c r="H82" s="30">
        <v>204</v>
      </c>
      <c r="I82" s="30">
        <v>34146</v>
      </c>
      <c r="J82" s="30">
        <v>44633</v>
      </c>
      <c r="K82" s="30">
        <v>256</v>
      </c>
      <c r="L82" s="30" t="s">
        <v>20</v>
      </c>
      <c r="M82" s="30" t="s">
        <v>54</v>
      </c>
      <c r="N82" s="39">
        <f>(Table1_1[[#This Row],[Likes]]+Table1_1[[#This Row],[Shares]]+Table1_1[[#This Row],[Comments]])/Table1_1[[#This Row],[Impressions]]</f>
        <v>0.11046681895390383</v>
      </c>
      <c r="O82" t="str">
        <f>IF(Table1_1[[#This Row],[Date]] &lt; DATE(2025,1,1),"Before","During")</f>
        <v>Before</v>
      </c>
    </row>
    <row r="83" spans="1:15">
      <c r="A83" s="30" t="s">
        <v>160</v>
      </c>
      <c r="B83" s="30" t="s">
        <v>23</v>
      </c>
      <c r="C83" s="44">
        <v>45602</v>
      </c>
      <c r="D83" s="30" t="s">
        <v>15</v>
      </c>
      <c r="E83" s="30" t="s">
        <v>45</v>
      </c>
      <c r="F83" s="30">
        <v>2956</v>
      </c>
      <c r="G83" s="30">
        <v>381</v>
      </c>
      <c r="H83" s="30">
        <v>345</v>
      </c>
      <c r="I83" s="30">
        <v>33347</v>
      </c>
      <c r="J83" s="30">
        <v>22558</v>
      </c>
      <c r="K83" s="30">
        <v>173</v>
      </c>
      <c r="L83" s="30" t="s">
        <v>38</v>
      </c>
      <c r="M83" s="30" t="s">
        <v>17</v>
      </c>
      <c r="N83" s="39">
        <f>(Table1_1[[#This Row],[Likes]]+Table1_1[[#This Row],[Shares]]+Table1_1[[#This Row],[Comments]])/Table1_1[[#This Row],[Impressions]]</f>
        <v>0.11041472996071611</v>
      </c>
      <c r="O83" t="str">
        <f>IF(Table1_1[[#This Row],[Date]] &lt; DATE(2025,1,1),"Before","During")</f>
        <v>Before</v>
      </c>
    </row>
    <row r="84" spans="1:15">
      <c r="A84" s="30" t="s">
        <v>59</v>
      </c>
      <c r="B84" s="30" t="s">
        <v>23</v>
      </c>
      <c r="C84" s="44">
        <v>45583</v>
      </c>
      <c r="D84" s="30" t="s">
        <v>15</v>
      </c>
      <c r="E84" s="30" t="s">
        <v>25</v>
      </c>
      <c r="F84" s="30">
        <v>2607</v>
      </c>
      <c r="G84" s="30">
        <v>379</v>
      </c>
      <c r="H84" s="30">
        <v>180</v>
      </c>
      <c r="I84" s="30">
        <v>28712</v>
      </c>
      <c r="J84" s="30">
        <v>61620</v>
      </c>
      <c r="K84" s="30">
        <v>174</v>
      </c>
      <c r="L84" s="30" t="s">
        <v>41</v>
      </c>
      <c r="M84" s="30" t="s">
        <v>21</v>
      </c>
      <c r="N84" s="39">
        <f>(Table1_1[[#This Row],[Likes]]+Table1_1[[#This Row],[Shares]]+Table1_1[[#This Row],[Comments]])/Table1_1[[#This Row],[Impressions]]</f>
        <v>0.11026748397882419</v>
      </c>
      <c r="O84" t="str">
        <f>IF(Table1_1[[#This Row],[Date]] &lt; DATE(2025,1,1),"Before","During")</f>
        <v>Before</v>
      </c>
    </row>
    <row r="85" spans="1:15">
      <c r="A85" s="30" t="s">
        <v>267</v>
      </c>
      <c r="B85" s="30" t="s">
        <v>29</v>
      </c>
      <c r="C85" s="44">
        <v>45723</v>
      </c>
      <c r="D85" s="30" t="s">
        <v>15</v>
      </c>
      <c r="E85" s="30" t="s">
        <v>37</v>
      </c>
      <c r="F85" s="30">
        <v>4310</v>
      </c>
      <c r="G85" s="30">
        <v>284</v>
      </c>
      <c r="H85" s="30">
        <v>306</v>
      </c>
      <c r="I85" s="30">
        <v>44606</v>
      </c>
      <c r="J85" s="30">
        <v>42604</v>
      </c>
      <c r="K85" s="30">
        <v>290</v>
      </c>
      <c r="L85" s="30" t="s">
        <v>20</v>
      </c>
      <c r="M85" s="30" t="s">
        <v>21</v>
      </c>
      <c r="N85" s="39">
        <f>(Table1_1[[#This Row],[Likes]]+Table1_1[[#This Row],[Shares]]+Table1_1[[#This Row],[Comments]])/Table1_1[[#This Row],[Impressions]]</f>
        <v>0.10985069273191947</v>
      </c>
      <c r="O85" t="str">
        <f>IF(Table1_1[[#This Row],[Date]] &lt; DATE(2025,1,1),"Before","During")</f>
        <v>During</v>
      </c>
    </row>
    <row r="86" spans="1:15">
      <c r="A86" s="30" t="s">
        <v>143</v>
      </c>
      <c r="B86" s="30" t="s">
        <v>29</v>
      </c>
      <c r="C86" s="44">
        <v>45542</v>
      </c>
      <c r="D86" s="30" t="s">
        <v>53</v>
      </c>
      <c r="E86" s="30" t="s">
        <v>30</v>
      </c>
      <c r="F86" s="30">
        <v>3882</v>
      </c>
      <c r="G86" s="30">
        <v>342</v>
      </c>
      <c r="H86" s="30">
        <v>374</v>
      </c>
      <c r="I86" s="30">
        <v>41991</v>
      </c>
      <c r="J86" s="30">
        <v>48554</v>
      </c>
      <c r="K86" s="30">
        <v>118</v>
      </c>
      <c r="L86" s="30" t="s">
        <v>20</v>
      </c>
      <c r="M86" s="30" t="s">
        <v>54</v>
      </c>
      <c r="N86" s="39">
        <f>(Table1_1[[#This Row],[Likes]]+Table1_1[[#This Row],[Shares]]+Table1_1[[#This Row],[Comments]])/Table1_1[[#This Row],[Impressions]]</f>
        <v>0.10949965468790931</v>
      </c>
      <c r="O86" t="str">
        <f>IF(Table1_1[[#This Row],[Date]] &lt; DATE(2025,1,1),"Before","During")</f>
        <v>Before</v>
      </c>
    </row>
    <row r="87" spans="1:15">
      <c r="A87" s="30" t="s">
        <v>84</v>
      </c>
      <c r="B87" s="30" t="s">
        <v>23</v>
      </c>
      <c r="C87" s="44">
        <v>45533</v>
      </c>
      <c r="D87" s="30" t="s">
        <v>24</v>
      </c>
      <c r="E87" s="30" t="s">
        <v>34</v>
      </c>
      <c r="F87" s="30">
        <v>4276</v>
      </c>
      <c r="G87" s="30">
        <v>227</v>
      </c>
      <c r="H87" s="30">
        <v>223</v>
      </c>
      <c r="I87" s="30">
        <v>43443</v>
      </c>
      <c r="J87" s="30">
        <v>41005</v>
      </c>
      <c r="K87" s="30">
        <v>191</v>
      </c>
      <c r="L87" s="30" t="s">
        <v>20</v>
      </c>
      <c r="M87" s="30" t="s">
        <v>17</v>
      </c>
      <c r="N87" s="39">
        <f>(Table1_1[[#This Row],[Likes]]+Table1_1[[#This Row],[Shares]]+Table1_1[[#This Row],[Comments]])/Table1_1[[#This Row],[Impressions]]</f>
        <v>0.1087862256289851</v>
      </c>
      <c r="O87" t="str">
        <f>IF(Table1_1[[#This Row],[Date]] &lt; DATE(2025,1,1),"Before","During")</f>
        <v>Before</v>
      </c>
    </row>
    <row r="88" spans="1:15">
      <c r="A88" s="30" t="s">
        <v>76</v>
      </c>
      <c r="B88" s="30" t="s">
        <v>14</v>
      </c>
      <c r="C88" s="44">
        <v>45401</v>
      </c>
      <c r="D88" s="30" t="s">
        <v>15</v>
      </c>
      <c r="E88" s="30" t="s">
        <v>25</v>
      </c>
      <c r="F88" s="30">
        <v>4001</v>
      </c>
      <c r="G88" s="30">
        <v>353</v>
      </c>
      <c r="H88" s="30">
        <v>129</v>
      </c>
      <c r="I88" s="30">
        <v>41265</v>
      </c>
      <c r="J88" s="30">
        <v>37279</v>
      </c>
      <c r="K88" s="30">
        <v>275</v>
      </c>
      <c r="L88" s="30" t="s">
        <v>41</v>
      </c>
      <c r="M88" s="30" t="s">
        <v>17</v>
      </c>
      <c r="N88" s="39">
        <f>(Table1_1[[#This Row],[Likes]]+Table1_1[[#This Row],[Shares]]+Table1_1[[#This Row],[Comments]])/Table1_1[[#This Row],[Impressions]]</f>
        <v>0.10863928268508422</v>
      </c>
      <c r="O88" t="str">
        <f>IF(Table1_1[[#This Row],[Date]] &lt; DATE(2025,1,1),"Before","During")</f>
        <v>Before</v>
      </c>
    </row>
    <row r="89" spans="1:15">
      <c r="A89" s="30" t="s">
        <v>237</v>
      </c>
      <c r="B89" s="30" t="s">
        <v>23</v>
      </c>
      <c r="C89" s="44">
        <v>45302</v>
      </c>
      <c r="D89" s="30" t="s">
        <v>24</v>
      </c>
      <c r="E89" s="30" t="s">
        <v>27</v>
      </c>
      <c r="F89" s="30">
        <v>2340</v>
      </c>
      <c r="G89" s="30">
        <v>141</v>
      </c>
      <c r="H89" s="30">
        <v>206</v>
      </c>
      <c r="I89" s="30">
        <v>24916</v>
      </c>
      <c r="J89" s="30">
        <v>30582</v>
      </c>
      <c r="K89" s="30">
        <v>157</v>
      </c>
      <c r="L89" s="30" t="s">
        <v>41</v>
      </c>
      <c r="M89" s="30" t="s">
        <v>17</v>
      </c>
      <c r="N89" s="39">
        <f>(Table1_1[[#This Row],[Likes]]+Table1_1[[#This Row],[Shares]]+Table1_1[[#This Row],[Comments]])/Table1_1[[#This Row],[Impressions]]</f>
        <v>0.10784235029699792</v>
      </c>
      <c r="O89" t="str">
        <f>IF(Table1_1[[#This Row],[Date]] &lt; DATE(2025,1,1),"Before","During")</f>
        <v>Before</v>
      </c>
    </row>
    <row r="90" spans="1:15">
      <c r="A90" s="30" t="s">
        <v>72</v>
      </c>
      <c r="B90" s="30" t="s">
        <v>23</v>
      </c>
      <c r="C90" s="44">
        <v>45804</v>
      </c>
      <c r="D90" s="30" t="s">
        <v>24</v>
      </c>
      <c r="E90" s="30" t="s">
        <v>19</v>
      </c>
      <c r="F90" s="30">
        <v>4095</v>
      </c>
      <c r="G90" s="30">
        <v>385</v>
      </c>
      <c r="H90" s="30">
        <v>400</v>
      </c>
      <c r="I90" s="30">
        <v>45300</v>
      </c>
      <c r="J90" s="30">
        <v>31795</v>
      </c>
      <c r="K90" s="30">
        <v>80</v>
      </c>
      <c r="L90" s="30" t="s">
        <v>368</v>
      </c>
      <c r="M90" s="30" t="s">
        <v>17</v>
      </c>
      <c r="N90" s="39">
        <f>(Table1_1[[#This Row],[Likes]]+Table1_1[[#This Row],[Shares]]+Table1_1[[#This Row],[Comments]])/Table1_1[[#This Row],[Impressions]]</f>
        <v>0.10772626931567329</v>
      </c>
      <c r="O90" t="str">
        <f>IF(Table1_1[[#This Row],[Date]] &lt; DATE(2025,1,1),"Before","During")</f>
        <v>During</v>
      </c>
    </row>
    <row r="91" spans="1:15">
      <c r="A91" s="30" t="s">
        <v>287</v>
      </c>
      <c r="B91" s="30" t="s">
        <v>29</v>
      </c>
      <c r="C91" s="44">
        <v>45591</v>
      </c>
      <c r="D91" s="30" t="s">
        <v>15</v>
      </c>
      <c r="E91" s="30" t="s">
        <v>25</v>
      </c>
      <c r="F91" s="30">
        <v>4676</v>
      </c>
      <c r="G91" s="30">
        <v>211</v>
      </c>
      <c r="H91" s="30">
        <v>55</v>
      </c>
      <c r="I91" s="30">
        <v>45917</v>
      </c>
      <c r="J91" s="30">
        <v>73503</v>
      </c>
      <c r="K91" s="30">
        <v>248</v>
      </c>
      <c r="L91" s="30" t="s">
        <v>20</v>
      </c>
      <c r="M91" s="30" t="s">
        <v>21</v>
      </c>
      <c r="N91" s="39">
        <f>(Table1_1[[#This Row],[Likes]]+Table1_1[[#This Row],[Shares]]+Table1_1[[#This Row],[Comments]])/Table1_1[[#This Row],[Impressions]]</f>
        <v>0.10762898272970794</v>
      </c>
      <c r="O91" t="str">
        <f>IF(Table1_1[[#This Row],[Date]] &lt; DATE(2025,1,1),"Before","During")</f>
        <v>Before</v>
      </c>
    </row>
    <row r="92" spans="1:15">
      <c r="A92" s="30" t="s">
        <v>230</v>
      </c>
      <c r="B92" s="30" t="s">
        <v>29</v>
      </c>
      <c r="C92" s="44">
        <v>45305</v>
      </c>
      <c r="D92" s="30" t="s">
        <v>15</v>
      </c>
      <c r="E92" s="30" t="s">
        <v>25</v>
      </c>
      <c r="F92" s="30">
        <v>3634</v>
      </c>
      <c r="G92" s="30">
        <v>280</v>
      </c>
      <c r="H92" s="30">
        <v>399</v>
      </c>
      <c r="I92" s="30">
        <v>40256</v>
      </c>
      <c r="J92" s="30">
        <v>52605</v>
      </c>
      <c r="K92" s="30">
        <v>213</v>
      </c>
      <c r="L92" s="30" t="s">
        <v>20</v>
      </c>
      <c r="M92" s="30" t="s">
        <v>21</v>
      </c>
      <c r="N92" s="39">
        <f>(Table1_1[[#This Row],[Likes]]+Table1_1[[#This Row],[Shares]]+Table1_1[[#This Row],[Comments]])/Table1_1[[#This Row],[Impressions]]</f>
        <v>0.10713930842607314</v>
      </c>
      <c r="O92" t="str">
        <f>IF(Table1_1[[#This Row],[Date]] &lt; DATE(2025,1,1),"Before","During")</f>
        <v>Before</v>
      </c>
    </row>
    <row r="93" spans="1:15">
      <c r="A93" s="30" t="s">
        <v>183</v>
      </c>
      <c r="B93" s="30" t="s">
        <v>23</v>
      </c>
      <c r="C93" s="44">
        <v>45696</v>
      </c>
      <c r="D93" s="30" t="s">
        <v>24</v>
      </c>
      <c r="E93" s="30" t="s">
        <v>47</v>
      </c>
      <c r="F93" s="30">
        <v>4752</v>
      </c>
      <c r="G93" s="30">
        <v>334</v>
      </c>
      <c r="H93" s="30">
        <v>56</v>
      </c>
      <c r="I93" s="30">
        <v>48017</v>
      </c>
      <c r="J93" s="30">
        <v>55534</v>
      </c>
      <c r="K93" s="30">
        <v>270</v>
      </c>
      <c r="L93" s="30" t="s">
        <v>20</v>
      </c>
      <c r="M93" s="30" t="s">
        <v>17</v>
      </c>
      <c r="N93" s="39">
        <f>(Table1_1[[#This Row],[Likes]]+Table1_1[[#This Row],[Shares]]+Table1_1[[#This Row],[Comments]])/Table1_1[[#This Row],[Impressions]]</f>
        <v>0.10708707332819627</v>
      </c>
      <c r="O93" t="str">
        <f>IF(Table1_1[[#This Row],[Date]] &lt; DATE(2025,1,1),"Before","During")</f>
        <v>During</v>
      </c>
    </row>
    <row r="94" spans="1:15">
      <c r="A94" s="30" t="s">
        <v>105</v>
      </c>
      <c r="B94" s="30" t="s">
        <v>23</v>
      </c>
      <c r="C94" s="44">
        <v>45662</v>
      </c>
      <c r="D94" s="30" t="s">
        <v>15</v>
      </c>
      <c r="E94" s="30" t="s">
        <v>27</v>
      </c>
      <c r="F94" s="30">
        <v>4811</v>
      </c>
      <c r="G94" s="30">
        <v>473</v>
      </c>
      <c r="H94" s="30">
        <v>254</v>
      </c>
      <c r="I94" s="30">
        <v>51964</v>
      </c>
      <c r="J94" s="30">
        <v>68795</v>
      </c>
      <c r="K94" s="30">
        <v>107</v>
      </c>
      <c r="L94" s="30" t="s">
        <v>38</v>
      </c>
      <c r="M94" s="30" t="s">
        <v>17</v>
      </c>
      <c r="N94" s="39">
        <f>(Table1_1[[#This Row],[Likes]]+Table1_1[[#This Row],[Shares]]+Table1_1[[#This Row],[Comments]])/Table1_1[[#This Row],[Impressions]]</f>
        <v>0.10657378184897237</v>
      </c>
      <c r="O94" t="str">
        <f>IF(Table1_1[[#This Row],[Date]] &lt; DATE(2025,1,1),"Before","During")</f>
        <v>During</v>
      </c>
    </row>
    <row r="95" spans="1:15">
      <c r="A95" s="30" t="s">
        <v>200</v>
      </c>
      <c r="B95" s="30" t="s">
        <v>14</v>
      </c>
      <c r="C95" s="44">
        <v>45420</v>
      </c>
      <c r="D95" s="30" t="s">
        <v>24</v>
      </c>
      <c r="E95" s="30" t="s">
        <v>30</v>
      </c>
      <c r="F95" s="30">
        <v>2414</v>
      </c>
      <c r="G95" s="30">
        <v>220</v>
      </c>
      <c r="H95" s="30">
        <v>280</v>
      </c>
      <c r="I95" s="30">
        <v>27355</v>
      </c>
      <c r="J95" s="30">
        <v>50562</v>
      </c>
      <c r="K95" s="30">
        <v>258</v>
      </c>
      <c r="L95" s="30" t="s">
        <v>38</v>
      </c>
      <c r="M95" s="30" t="s">
        <v>51</v>
      </c>
      <c r="N95" s="39">
        <f>(Table1_1[[#This Row],[Likes]]+Table1_1[[#This Row],[Shares]]+Table1_1[[#This Row],[Comments]])/Table1_1[[#This Row],[Impressions]]</f>
        <v>0.10652531529884847</v>
      </c>
      <c r="O95" t="str">
        <f>IF(Table1_1[[#This Row],[Date]] &lt; DATE(2025,1,1),"Before","During")</f>
        <v>Before</v>
      </c>
    </row>
    <row r="96" spans="1:15">
      <c r="A96" s="30" t="s">
        <v>92</v>
      </c>
      <c r="B96" s="30" t="s">
        <v>14</v>
      </c>
      <c r="C96" s="44">
        <v>45299</v>
      </c>
      <c r="D96" s="30" t="s">
        <v>15</v>
      </c>
      <c r="E96" s="30" t="s">
        <v>37</v>
      </c>
      <c r="F96" s="30">
        <v>2683</v>
      </c>
      <c r="G96" s="30">
        <v>405</v>
      </c>
      <c r="H96" s="30">
        <v>223</v>
      </c>
      <c r="I96" s="30">
        <v>31233</v>
      </c>
      <c r="J96" s="30">
        <v>58106</v>
      </c>
      <c r="K96" s="30">
        <v>291</v>
      </c>
      <c r="L96" s="30" t="s">
        <v>20</v>
      </c>
      <c r="M96" s="30" t="s">
        <v>21</v>
      </c>
      <c r="N96" s="39">
        <f>(Table1_1[[#This Row],[Likes]]+Table1_1[[#This Row],[Shares]]+Table1_1[[#This Row],[Comments]])/Table1_1[[#This Row],[Impressions]]</f>
        <v>0.10600966926007749</v>
      </c>
      <c r="O96" t="str">
        <f>IF(Table1_1[[#This Row],[Date]] &lt; DATE(2025,1,1),"Before","During")</f>
        <v>Before</v>
      </c>
    </row>
    <row r="97" spans="1:15">
      <c r="A97" s="30" t="s">
        <v>132</v>
      </c>
      <c r="B97" s="30" t="s">
        <v>14</v>
      </c>
      <c r="C97" s="44">
        <v>45317</v>
      </c>
      <c r="D97" s="30" t="s">
        <v>15</v>
      </c>
      <c r="E97" s="30" t="s">
        <v>32</v>
      </c>
      <c r="F97" s="30">
        <v>3878</v>
      </c>
      <c r="G97" s="30">
        <v>431</v>
      </c>
      <c r="H97" s="30">
        <v>97</v>
      </c>
      <c r="I97" s="30">
        <v>41763</v>
      </c>
      <c r="J97" s="30">
        <v>29729</v>
      </c>
      <c r="K97" s="30">
        <v>191</v>
      </c>
      <c r="L97" s="30" t="s">
        <v>20</v>
      </c>
      <c r="M97" s="30" t="s">
        <v>21</v>
      </c>
      <c r="N97" s="39">
        <f>(Table1_1[[#This Row],[Likes]]+Table1_1[[#This Row],[Shares]]+Table1_1[[#This Row],[Comments]])/Table1_1[[#This Row],[Impressions]]</f>
        <v>0.10550008380623997</v>
      </c>
      <c r="O97" t="str">
        <f>IF(Table1_1[[#This Row],[Date]] &lt; DATE(2025,1,1),"Before","During")</f>
        <v>Before</v>
      </c>
    </row>
    <row r="98" spans="1:15">
      <c r="A98" s="30" t="s">
        <v>275</v>
      </c>
      <c r="B98" s="30" t="s">
        <v>29</v>
      </c>
      <c r="C98" s="44">
        <v>45533</v>
      </c>
      <c r="D98" s="30" t="s">
        <v>15</v>
      </c>
      <c r="E98" s="30" t="s">
        <v>27</v>
      </c>
      <c r="F98" s="30">
        <v>4774</v>
      </c>
      <c r="G98" s="30">
        <v>389</v>
      </c>
      <c r="H98" s="30">
        <v>358</v>
      </c>
      <c r="I98" s="30">
        <v>52346</v>
      </c>
      <c r="J98" s="30">
        <v>30518</v>
      </c>
      <c r="K98" s="30">
        <v>277</v>
      </c>
      <c r="L98" s="30" t="s">
        <v>20</v>
      </c>
      <c r="M98" s="30" t="s">
        <v>21</v>
      </c>
      <c r="N98" s="39">
        <f>(Table1_1[[#This Row],[Likes]]+Table1_1[[#This Row],[Shares]]+Table1_1[[#This Row],[Comments]])/Table1_1[[#This Row],[Impressions]]</f>
        <v>0.10547128720437092</v>
      </c>
      <c r="O98" t="str">
        <f>IF(Table1_1[[#This Row],[Date]] &lt; DATE(2025,1,1),"Before","During")</f>
        <v>Before</v>
      </c>
    </row>
    <row r="99" spans="1:15">
      <c r="A99" s="30" t="s">
        <v>323</v>
      </c>
      <c r="B99" s="30" t="s">
        <v>23</v>
      </c>
      <c r="C99" s="44">
        <v>45513</v>
      </c>
      <c r="D99" s="30" t="s">
        <v>24</v>
      </c>
      <c r="E99" s="30" t="s">
        <v>45</v>
      </c>
      <c r="F99" s="30">
        <v>4877</v>
      </c>
      <c r="G99" s="30">
        <v>442</v>
      </c>
      <c r="H99" s="30">
        <v>236</v>
      </c>
      <c r="I99" s="30">
        <v>52673</v>
      </c>
      <c r="J99" s="30">
        <v>48241</v>
      </c>
      <c r="K99" s="30">
        <v>114</v>
      </c>
      <c r="L99" s="30" t="s">
        <v>20</v>
      </c>
      <c r="M99" s="30" t="s">
        <v>17</v>
      </c>
      <c r="N99" s="39">
        <f>(Table1_1[[#This Row],[Likes]]+Table1_1[[#This Row],[Shares]]+Table1_1[[#This Row],[Comments]])/Table1_1[[#This Row],[Impressions]]</f>
        <v>0.10546200140489435</v>
      </c>
      <c r="O99" t="str">
        <f>IF(Table1_1[[#This Row],[Date]] &lt; DATE(2025,1,1),"Before","During")</f>
        <v>Before</v>
      </c>
    </row>
    <row r="100" spans="1:15">
      <c r="A100" s="30" t="s">
        <v>163</v>
      </c>
      <c r="B100" s="30" t="s">
        <v>14</v>
      </c>
      <c r="C100" s="44">
        <v>45344</v>
      </c>
      <c r="D100" s="30" t="s">
        <v>15</v>
      </c>
      <c r="E100" s="30" t="s">
        <v>25</v>
      </c>
      <c r="F100" s="30">
        <v>1902</v>
      </c>
      <c r="G100" s="30">
        <v>394</v>
      </c>
      <c r="H100" s="30">
        <v>279</v>
      </c>
      <c r="I100" s="30">
        <v>24615</v>
      </c>
      <c r="J100" s="30">
        <v>51330</v>
      </c>
      <c r="K100" s="30">
        <v>176</v>
      </c>
      <c r="L100" s="30" t="s">
        <v>41</v>
      </c>
      <c r="M100" s="30" t="s">
        <v>17</v>
      </c>
      <c r="N100" s="39">
        <f>(Table1_1[[#This Row],[Likes]]+Table1_1[[#This Row],[Shares]]+Table1_1[[#This Row],[Comments]])/Table1_1[[#This Row],[Impressions]]</f>
        <v>0.10461100954702417</v>
      </c>
      <c r="O100" t="str">
        <f>IF(Table1_1[[#This Row],[Date]] &lt; DATE(2025,1,1),"Before","During")</f>
        <v>Before</v>
      </c>
    </row>
    <row r="101" spans="1:15">
      <c r="A101" s="30" t="s">
        <v>190</v>
      </c>
      <c r="B101" s="30" t="s">
        <v>14</v>
      </c>
      <c r="C101" s="44">
        <v>45407</v>
      </c>
      <c r="D101" s="30" t="s">
        <v>15</v>
      </c>
      <c r="E101" s="30" t="s">
        <v>30</v>
      </c>
      <c r="F101" s="30">
        <v>3563</v>
      </c>
      <c r="G101" s="30">
        <v>483</v>
      </c>
      <c r="H101" s="30">
        <v>227</v>
      </c>
      <c r="I101" s="30">
        <v>41085</v>
      </c>
      <c r="J101" s="30">
        <v>26393</v>
      </c>
      <c r="K101" s="30">
        <v>236</v>
      </c>
      <c r="L101" s="30" t="s">
        <v>41</v>
      </c>
      <c r="M101" s="30" t="s">
        <v>17</v>
      </c>
      <c r="N101" s="39">
        <f>(Table1_1[[#This Row],[Likes]]+Table1_1[[#This Row],[Shares]]+Table1_1[[#This Row],[Comments]])/Table1_1[[#This Row],[Impressions]]</f>
        <v>0.10400389436534015</v>
      </c>
      <c r="O101" t="str">
        <f>IF(Table1_1[[#This Row],[Date]] &lt; DATE(2025,1,1),"Before","During")</f>
        <v>Before</v>
      </c>
    </row>
    <row r="102" spans="1:15">
      <c r="A102" s="30" t="s">
        <v>65</v>
      </c>
      <c r="B102" s="30" t="s">
        <v>23</v>
      </c>
      <c r="C102" s="44">
        <v>45773</v>
      </c>
      <c r="D102" s="30" t="s">
        <v>15</v>
      </c>
      <c r="E102" s="30" t="s">
        <v>16</v>
      </c>
      <c r="F102" s="30">
        <v>2411</v>
      </c>
      <c r="G102" s="30">
        <v>194</v>
      </c>
      <c r="H102" s="30">
        <v>168</v>
      </c>
      <c r="I102" s="30">
        <v>26665</v>
      </c>
      <c r="J102" s="30">
        <v>71699</v>
      </c>
      <c r="K102" s="30">
        <v>197</v>
      </c>
      <c r="L102" s="30" t="s">
        <v>38</v>
      </c>
      <c r="M102" s="30" t="s">
        <v>17</v>
      </c>
      <c r="N102" s="39">
        <f>(Table1_1[[#This Row],[Likes]]+Table1_1[[#This Row],[Shares]]+Table1_1[[#This Row],[Comments]])/Table1_1[[#This Row],[Impressions]]</f>
        <v>0.10399399962497656</v>
      </c>
      <c r="O102" t="str">
        <f>IF(Table1_1[[#This Row],[Date]] &lt; DATE(2025,1,1),"Before","During")</f>
        <v>During</v>
      </c>
    </row>
    <row r="103" spans="1:15">
      <c r="A103" s="30" t="s">
        <v>324</v>
      </c>
      <c r="B103" s="30" t="s">
        <v>14</v>
      </c>
      <c r="C103" s="44">
        <v>45678</v>
      </c>
      <c r="D103" s="30" t="s">
        <v>24</v>
      </c>
      <c r="E103" s="30" t="s">
        <v>25</v>
      </c>
      <c r="F103" s="30">
        <v>4918</v>
      </c>
      <c r="G103" s="30">
        <v>440</v>
      </c>
      <c r="H103" s="30">
        <v>149</v>
      </c>
      <c r="I103" s="30">
        <v>53269</v>
      </c>
      <c r="J103" s="30">
        <v>64370</v>
      </c>
      <c r="K103" s="30">
        <v>269</v>
      </c>
      <c r="L103" s="30" t="s">
        <v>38</v>
      </c>
      <c r="M103" s="30" t="s">
        <v>51</v>
      </c>
      <c r="N103" s="39">
        <f>(Table1_1[[#This Row],[Likes]]+Table1_1[[#This Row],[Shares]]+Table1_1[[#This Row],[Comments]])/Table1_1[[#This Row],[Impressions]]</f>
        <v>0.10338095327488783</v>
      </c>
      <c r="O103" t="str">
        <f>IF(Table1_1[[#This Row],[Date]] &lt; DATE(2025,1,1),"Before","During")</f>
        <v>During</v>
      </c>
    </row>
    <row r="104" spans="1:15">
      <c r="A104" s="30" t="s">
        <v>209</v>
      </c>
      <c r="B104" s="30" t="s">
        <v>29</v>
      </c>
      <c r="C104" s="44">
        <v>45749</v>
      </c>
      <c r="D104" s="30" t="s">
        <v>15</v>
      </c>
      <c r="E104" s="30" t="s">
        <v>27</v>
      </c>
      <c r="F104" s="30">
        <v>4598</v>
      </c>
      <c r="G104" s="30">
        <v>455</v>
      </c>
      <c r="H104" s="30">
        <v>378</v>
      </c>
      <c r="I104" s="30">
        <v>52952</v>
      </c>
      <c r="J104" s="30">
        <v>58504</v>
      </c>
      <c r="K104" s="30">
        <v>269</v>
      </c>
      <c r="L104" s="30" t="s">
        <v>20</v>
      </c>
      <c r="M104" s="30" t="s">
        <v>21</v>
      </c>
      <c r="N104" s="39">
        <f>(Table1_1[[#This Row],[Likes]]+Table1_1[[#This Row],[Shares]]+Table1_1[[#This Row],[Comments]])/Table1_1[[#This Row],[Impressions]]</f>
        <v>0.10256458679558846</v>
      </c>
      <c r="O104" t="str">
        <f>IF(Table1_1[[#This Row],[Date]] &lt; DATE(2025,1,1),"Before","During")</f>
        <v>During</v>
      </c>
    </row>
    <row r="105" spans="1:15">
      <c r="A105" s="30" t="s">
        <v>86</v>
      </c>
      <c r="B105" s="30" t="s">
        <v>29</v>
      </c>
      <c r="C105" s="44">
        <v>45425</v>
      </c>
      <c r="D105" s="30" t="s">
        <v>53</v>
      </c>
      <c r="E105" s="30" t="s">
        <v>19</v>
      </c>
      <c r="F105" s="30">
        <v>4161</v>
      </c>
      <c r="G105" s="30">
        <v>481</v>
      </c>
      <c r="H105" s="30">
        <v>61</v>
      </c>
      <c r="I105" s="30">
        <v>45884</v>
      </c>
      <c r="J105" s="30">
        <v>48955</v>
      </c>
      <c r="K105" s="30">
        <v>215</v>
      </c>
      <c r="L105" s="30" t="s">
        <v>20</v>
      </c>
      <c r="M105" s="30" t="s">
        <v>54</v>
      </c>
      <c r="N105" s="39">
        <f>(Table1_1[[#This Row],[Likes]]+Table1_1[[#This Row],[Shares]]+Table1_1[[#This Row],[Comments]])/Table1_1[[#This Row],[Impressions]]</f>
        <v>0.10249760265016128</v>
      </c>
      <c r="O105" t="str">
        <f>IF(Table1_1[[#This Row],[Date]] &lt; DATE(2025,1,1),"Before","During")</f>
        <v>Before</v>
      </c>
    </row>
    <row r="106" spans="1:15">
      <c r="A106" s="30" t="s">
        <v>226</v>
      </c>
      <c r="B106" s="30" t="s">
        <v>29</v>
      </c>
      <c r="C106" s="44">
        <v>45346</v>
      </c>
      <c r="D106" s="30" t="s">
        <v>53</v>
      </c>
      <c r="E106" s="30" t="s">
        <v>16</v>
      </c>
      <c r="F106" s="30">
        <v>4221</v>
      </c>
      <c r="G106" s="30">
        <v>307</v>
      </c>
      <c r="H106" s="30">
        <v>58</v>
      </c>
      <c r="I106" s="30">
        <v>45080</v>
      </c>
      <c r="J106" s="30">
        <v>37214</v>
      </c>
      <c r="K106" s="30">
        <v>240</v>
      </c>
      <c r="L106" s="30" t="s">
        <v>20</v>
      </c>
      <c r="M106" s="30" t="s">
        <v>54</v>
      </c>
      <c r="N106" s="39">
        <f>(Table1_1[[#This Row],[Likes]]+Table1_1[[#This Row],[Shares]]+Table1_1[[#This Row],[Comments]])/Table1_1[[#This Row],[Impressions]]</f>
        <v>0.10173025732031943</v>
      </c>
      <c r="O106" t="str">
        <f>IF(Table1_1[[#This Row],[Date]] &lt; DATE(2025,1,1),"Before","During")</f>
        <v>Before</v>
      </c>
    </row>
    <row r="107" spans="1:15">
      <c r="A107" s="30" t="s">
        <v>203</v>
      </c>
      <c r="B107" s="30" t="s">
        <v>14</v>
      </c>
      <c r="C107" s="44">
        <v>45385</v>
      </c>
      <c r="D107" s="30" t="s">
        <v>15</v>
      </c>
      <c r="E107" s="30" t="s">
        <v>37</v>
      </c>
      <c r="F107" s="30">
        <v>2762</v>
      </c>
      <c r="G107" s="30">
        <v>339</v>
      </c>
      <c r="H107" s="30">
        <v>323</v>
      </c>
      <c r="I107" s="30">
        <v>33757</v>
      </c>
      <c r="J107" s="30">
        <v>68511</v>
      </c>
      <c r="K107" s="30">
        <v>121</v>
      </c>
      <c r="L107" s="30" t="s">
        <v>41</v>
      </c>
      <c r="M107" s="30" t="s">
        <v>17</v>
      </c>
      <c r="N107" s="39">
        <f>(Table1_1[[#This Row],[Likes]]+Table1_1[[#This Row],[Shares]]+Table1_1[[#This Row],[Comments]])/Table1_1[[#This Row],[Impressions]]</f>
        <v>0.10143081434961637</v>
      </c>
      <c r="O107" t="str">
        <f>IF(Table1_1[[#This Row],[Date]] &lt; DATE(2025,1,1),"Before","During")</f>
        <v>Before</v>
      </c>
    </row>
    <row r="108" spans="1:15">
      <c r="A108" s="30" t="s">
        <v>135</v>
      </c>
      <c r="B108" s="30" t="s">
        <v>14</v>
      </c>
      <c r="C108" s="44">
        <v>45494</v>
      </c>
      <c r="D108" s="30" t="s">
        <v>15</v>
      </c>
      <c r="E108" s="30" t="s">
        <v>16</v>
      </c>
      <c r="F108" s="30">
        <v>3004</v>
      </c>
      <c r="G108" s="30">
        <v>415</v>
      </c>
      <c r="H108" s="30">
        <v>218</v>
      </c>
      <c r="I108" s="30">
        <v>36090</v>
      </c>
      <c r="J108" s="30">
        <v>37073</v>
      </c>
      <c r="K108" s="30">
        <v>181</v>
      </c>
      <c r="L108" s="30" t="s">
        <v>20</v>
      </c>
      <c r="M108" s="30" t="s">
        <v>21</v>
      </c>
      <c r="N108" s="39">
        <f>(Table1_1[[#This Row],[Likes]]+Table1_1[[#This Row],[Shares]]+Table1_1[[#This Row],[Comments]])/Table1_1[[#This Row],[Impressions]]</f>
        <v>0.10077583818232197</v>
      </c>
      <c r="O108" t="str">
        <f>IF(Table1_1[[#This Row],[Date]] &lt; DATE(2025,1,1),"Before","During")</f>
        <v>Before</v>
      </c>
    </row>
    <row r="109" spans="1:15">
      <c r="A109" s="30" t="s">
        <v>208</v>
      </c>
      <c r="B109" s="30" t="s">
        <v>14</v>
      </c>
      <c r="C109" s="44">
        <v>45447</v>
      </c>
      <c r="D109" s="30" t="s">
        <v>15</v>
      </c>
      <c r="E109" s="30" t="s">
        <v>34</v>
      </c>
      <c r="F109" s="30">
        <v>3948</v>
      </c>
      <c r="G109" s="30">
        <v>151</v>
      </c>
      <c r="H109" s="30">
        <v>249</v>
      </c>
      <c r="I109" s="30">
        <v>43147</v>
      </c>
      <c r="J109" s="30">
        <v>63136</v>
      </c>
      <c r="K109" s="30">
        <v>230</v>
      </c>
      <c r="L109" s="30" t="s">
        <v>20</v>
      </c>
      <c r="M109" s="30" t="s">
        <v>21</v>
      </c>
      <c r="N109" s="39">
        <f>(Table1_1[[#This Row],[Likes]]+Table1_1[[#This Row],[Shares]]+Table1_1[[#This Row],[Comments]])/Table1_1[[#This Row],[Impressions]]</f>
        <v>0.10077178019329269</v>
      </c>
      <c r="O109" t="str">
        <f>IF(Table1_1[[#This Row],[Date]] &lt; DATE(2025,1,1),"Before","During")</f>
        <v>Before</v>
      </c>
    </row>
    <row r="110" spans="1:15">
      <c r="A110" s="30" t="s">
        <v>124</v>
      </c>
      <c r="B110" s="30" t="s">
        <v>14</v>
      </c>
      <c r="C110" s="44">
        <v>45630</v>
      </c>
      <c r="D110" s="30" t="s">
        <v>15</v>
      </c>
      <c r="E110" s="30" t="s">
        <v>27</v>
      </c>
      <c r="F110" s="30">
        <v>2601</v>
      </c>
      <c r="G110" s="30">
        <v>336</v>
      </c>
      <c r="H110" s="30">
        <v>260</v>
      </c>
      <c r="I110" s="30">
        <v>32368</v>
      </c>
      <c r="J110" s="30">
        <v>49028</v>
      </c>
      <c r="K110" s="30">
        <v>120</v>
      </c>
      <c r="L110" s="30" t="s">
        <v>41</v>
      </c>
      <c r="M110" s="30" t="s">
        <v>17</v>
      </c>
      <c r="N110" s="39">
        <f>(Table1_1[[#This Row],[Likes]]+Table1_1[[#This Row],[Shares]]+Table1_1[[#This Row],[Comments]])/Table1_1[[#This Row],[Impressions]]</f>
        <v>9.8770390509144837E-2</v>
      </c>
      <c r="O110" t="str">
        <f>IF(Table1_1[[#This Row],[Date]] &lt; DATE(2025,1,1),"Before","During")</f>
        <v>Before</v>
      </c>
    </row>
    <row r="111" spans="1:15">
      <c r="A111" s="30" t="s">
        <v>316</v>
      </c>
      <c r="B111" s="30" t="s">
        <v>14</v>
      </c>
      <c r="C111" s="44">
        <v>45298</v>
      </c>
      <c r="D111" s="30" t="s">
        <v>15</v>
      </c>
      <c r="E111" s="30" t="s">
        <v>37</v>
      </c>
      <c r="F111" s="30">
        <v>4931</v>
      </c>
      <c r="G111" s="30">
        <v>469</v>
      </c>
      <c r="H111" s="30">
        <v>193</v>
      </c>
      <c r="I111" s="30">
        <v>56701</v>
      </c>
      <c r="J111" s="30">
        <v>69437</v>
      </c>
      <c r="K111" s="30">
        <v>291</v>
      </c>
      <c r="L111" s="30" t="s">
        <v>41</v>
      </c>
      <c r="M111" s="30" t="s">
        <v>17</v>
      </c>
      <c r="N111" s="39">
        <f>(Table1_1[[#This Row],[Likes]]+Table1_1[[#This Row],[Shares]]+Table1_1[[#This Row],[Comments]])/Table1_1[[#This Row],[Impressions]]</f>
        <v>9.8640235621946709E-2</v>
      </c>
      <c r="O111" t="str">
        <f>IF(Table1_1[[#This Row],[Date]] &lt; DATE(2025,1,1),"Before","During")</f>
        <v>Before</v>
      </c>
    </row>
    <row r="112" spans="1:15">
      <c r="A112" s="30" t="s">
        <v>223</v>
      </c>
      <c r="B112" s="30" t="s">
        <v>14</v>
      </c>
      <c r="C112" s="44">
        <v>45814</v>
      </c>
      <c r="D112" s="30" t="s">
        <v>15</v>
      </c>
      <c r="E112" s="30" t="s">
        <v>27</v>
      </c>
      <c r="F112" s="30">
        <v>3987</v>
      </c>
      <c r="G112" s="30">
        <v>171</v>
      </c>
      <c r="H112" s="30">
        <v>274</v>
      </c>
      <c r="I112" s="30">
        <v>45122</v>
      </c>
      <c r="J112" s="30">
        <v>65431</v>
      </c>
      <c r="K112" s="30">
        <v>168</v>
      </c>
      <c r="L112" s="30" t="s">
        <v>20</v>
      </c>
      <c r="M112" s="30" t="s">
        <v>21</v>
      </c>
      <c r="N112" s="39">
        <f>(Table1_1[[#This Row],[Likes]]+Table1_1[[#This Row],[Shares]]+Table1_1[[#This Row],[Comments]])/Table1_1[[#This Row],[Impressions]]</f>
        <v>9.8222596516111871E-2</v>
      </c>
      <c r="O112" t="str">
        <f>IF(Table1_1[[#This Row],[Date]] &lt; DATE(2025,1,1),"Before","During")</f>
        <v>During</v>
      </c>
    </row>
    <row r="113" spans="1:15">
      <c r="A113" s="30" t="s">
        <v>278</v>
      </c>
      <c r="B113" s="30" t="s">
        <v>23</v>
      </c>
      <c r="C113" s="44">
        <v>45636</v>
      </c>
      <c r="D113" s="30" t="s">
        <v>24</v>
      </c>
      <c r="E113" s="30" t="s">
        <v>27</v>
      </c>
      <c r="F113" s="30">
        <v>2267</v>
      </c>
      <c r="G113" s="30">
        <v>230</v>
      </c>
      <c r="H113" s="30">
        <v>243</v>
      </c>
      <c r="I113" s="30">
        <v>27904</v>
      </c>
      <c r="J113" s="30">
        <v>69771</v>
      </c>
      <c r="K113" s="30">
        <v>255</v>
      </c>
      <c r="L113" s="30" t="s">
        <v>20</v>
      </c>
      <c r="M113" s="30" t="s">
        <v>17</v>
      </c>
      <c r="N113" s="39">
        <f>(Table1_1[[#This Row],[Likes]]+Table1_1[[#This Row],[Shares]]+Table1_1[[#This Row],[Comments]])/Table1_1[[#This Row],[Impressions]]</f>
        <v>9.8193807339449546E-2</v>
      </c>
      <c r="O113" t="str">
        <f>IF(Table1_1[[#This Row],[Date]] &lt; DATE(2025,1,1),"Before","During")</f>
        <v>Before</v>
      </c>
    </row>
    <row r="114" spans="1:15">
      <c r="A114" s="30" t="s">
        <v>82</v>
      </c>
      <c r="B114" s="30" t="s">
        <v>29</v>
      </c>
      <c r="C114" s="44">
        <v>45365</v>
      </c>
      <c r="D114" s="30" t="s">
        <v>53</v>
      </c>
      <c r="E114" s="30" t="s">
        <v>45</v>
      </c>
      <c r="F114" s="30">
        <v>3361</v>
      </c>
      <c r="G114" s="30">
        <v>188</v>
      </c>
      <c r="H114" s="30">
        <v>358</v>
      </c>
      <c r="I114" s="30">
        <v>39838</v>
      </c>
      <c r="J114" s="30">
        <v>24536</v>
      </c>
      <c r="K114" s="30">
        <v>120</v>
      </c>
      <c r="L114" s="30" t="s">
        <v>20</v>
      </c>
      <c r="M114" s="30" t="s">
        <v>54</v>
      </c>
      <c r="N114" s="39">
        <f>(Table1_1[[#This Row],[Likes]]+Table1_1[[#This Row],[Shares]]+Table1_1[[#This Row],[Comments]])/Table1_1[[#This Row],[Impressions]]</f>
        <v>9.8072192379135503E-2</v>
      </c>
      <c r="O114" t="str">
        <f>IF(Table1_1[[#This Row],[Date]] &lt; DATE(2025,1,1),"Before","During")</f>
        <v>Before</v>
      </c>
    </row>
    <row r="115" spans="1:15">
      <c r="A115" s="30" t="s">
        <v>206</v>
      </c>
      <c r="B115" s="30" t="s">
        <v>14</v>
      </c>
      <c r="C115" s="44">
        <v>45536</v>
      </c>
      <c r="D115" s="30" t="s">
        <v>24</v>
      </c>
      <c r="E115" s="30" t="s">
        <v>27</v>
      </c>
      <c r="F115" s="30">
        <v>2335</v>
      </c>
      <c r="G115" s="30">
        <v>150</v>
      </c>
      <c r="H115" s="30">
        <v>75</v>
      </c>
      <c r="I115" s="30">
        <v>26114</v>
      </c>
      <c r="J115" s="30">
        <v>57549</v>
      </c>
      <c r="K115" s="30">
        <v>135</v>
      </c>
      <c r="L115" s="30" t="s">
        <v>38</v>
      </c>
      <c r="M115" s="30" t="s">
        <v>51</v>
      </c>
      <c r="N115" s="39">
        <f>(Table1_1[[#This Row],[Likes]]+Table1_1[[#This Row],[Shares]]+Table1_1[[#This Row],[Comments]])/Table1_1[[#This Row],[Impressions]]</f>
        <v>9.8031707130274953E-2</v>
      </c>
      <c r="O115" t="str">
        <f>IF(Table1_1[[#This Row],[Date]] &lt; DATE(2025,1,1),"Before","During")</f>
        <v>Before</v>
      </c>
    </row>
    <row r="116" spans="1:15">
      <c r="A116" s="30" t="s">
        <v>239</v>
      </c>
      <c r="B116" s="30" t="s">
        <v>23</v>
      </c>
      <c r="C116" s="44">
        <v>45656</v>
      </c>
      <c r="D116" s="30" t="s">
        <v>15</v>
      </c>
      <c r="E116" s="30" t="s">
        <v>34</v>
      </c>
      <c r="F116" s="30">
        <v>4214</v>
      </c>
      <c r="G116" s="30">
        <v>286</v>
      </c>
      <c r="H116" s="30">
        <v>127</v>
      </c>
      <c r="I116" s="30">
        <v>47293</v>
      </c>
      <c r="J116" s="30">
        <v>27184</v>
      </c>
      <c r="K116" s="30">
        <v>232</v>
      </c>
      <c r="L116" s="30" t="s">
        <v>38</v>
      </c>
      <c r="M116" s="30" t="s">
        <v>17</v>
      </c>
      <c r="N116" s="39">
        <f>(Table1_1[[#This Row],[Likes]]+Table1_1[[#This Row],[Shares]]+Table1_1[[#This Row],[Comments]])/Table1_1[[#This Row],[Impressions]]</f>
        <v>9.7836889180216949E-2</v>
      </c>
      <c r="O116" t="str">
        <f>IF(Table1_1[[#This Row],[Date]] &lt; DATE(2025,1,1),"Before","During")</f>
        <v>Before</v>
      </c>
    </row>
    <row r="117" spans="1:15">
      <c r="A117" s="30" t="s">
        <v>70</v>
      </c>
      <c r="B117" s="30" t="s">
        <v>23</v>
      </c>
      <c r="C117" s="44">
        <v>45785</v>
      </c>
      <c r="D117" s="30" t="s">
        <v>24</v>
      </c>
      <c r="E117" s="30" t="s">
        <v>47</v>
      </c>
      <c r="F117" s="30">
        <v>3316</v>
      </c>
      <c r="G117" s="30">
        <v>332</v>
      </c>
      <c r="H117" s="30">
        <v>268</v>
      </c>
      <c r="I117" s="30">
        <v>40095</v>
      </c>
      <c r="J117" s="30">
        <v>36913</v>
      </c>
      <c r="K117" s="30">
        <v>265</v>
      </c>
      <c r="L117" s="30" t="s">
        <v>368</v>
      </c>
      <c r="M117" s="30" t="s">
        <v>17</v>
      </c>
      <c r="N117" s="39">
        <f>(Table1_1[[#This Row],[Likes]]+Table1_1[[#This Row],[Shares]]+Table1_1[[#This Row],[Comments]])/Table1_1[[#This Row],[Impressions]]</f>
        <v>9.7668038408779148E-2</v>
      </c>
      <c r="O117" t="str">
        <f>IF(Table1_1[[#This Row],[Date]] &lt; DATE(2025,1,1),"Before","During")</f>
        <v>During</v>
      </c>
    </row>
    <row r="118" spans="1:15">
      <c r="A118" s="30" t="s">
        <v>170</v>
      </c>
      <c r="B118" s="30" t="s">
        <v>23</v>
      </c>
      <c r="C118" s="44">
        <v>45569</v>
      </c>
      <c r="D118" s="30" t="s">
        <v>24</v>
      </c>
      <c r="E118" s="30" t="s">
        <v>19</v>
      </c>
      <c r="F118" s="30">
        <v>2870</v>
      </c>
      <c r="G118" s="30">
        <v>380</v>
      </c>
      <c r="H118" s="30">
        <v>393</v>
      </c>
      <c r="I118" s="30">
        <v>37621</v>
      </c>
      <c r="J118" s="30">
        <v>71794</v>
      </c>
      <c r="K118" s="30">
        <v>127</v>
      </c>
      <c r="L118" s="30" t="s">
        <v>368</v>
      </c>
      <c r="M118" s="30" t="s">
        <v>17</v>
      </c>
      <c r="N118" s="39">
        <f>(Table1_1[[#This Row],[Likes]]+Table1_1[[#This Row],[Shares]]+Table1_1[[#This Row],[Comments]])/Table1_1[[#This Row],[Impressions]]</f>
        <v>9.6834214933149046E-2</v>
      </c>
      <c r="O118" t="str">
        <f>IF(Table1_1[[#This Row],[Date]] &lt; DATE(2025,1,1),"Before","During")</f>
        <v>Before</v>
      </c>
    </row>
    <row r="119" spans="1:15">
      <c r="A119" s="30" t="s">
        <v>112</v>
      </c>
      <c r="B119" s="30" t="s">
        <v>23</v>
      </c>
      <c r="C119" s="44">
        <v>45805</v>
      </c>
      <c r="D119" s="30" t="s">
        <v>15</v>
      </c>
      <c r="E119" s="30" t="s">
        <v>45</v>
      </c>
      <c r="F119" s="30">
        <v>2418</v>
      </c>
      <c r="G119" s="30">
        <v>161</v>
      </c>
      <c r="H119" s="30">
        <v>360</v>
      </c>
      <c r="I119" s="30">
        <v>30589</v>
      </c>
      <c r="J119" s="30">
        <v>41383</v>
      </c>
      <c r="K119" s="30">
        <v>88</v>
      </c>
      <c r="L119" s="30" t="s">
        <v>38</v>
      </c>
      <c r="M119" s="30" t="s">
        <v>17</v>
      </c>
      <c r="N119" s="39">
        <f>(Table1_1[[#This Row],[Likes]]+Table1_1[[#This Row],[Shares]]+Table1_1[[#This Row],[Comments]])/Table1_1[[#This Row],[Impressions]]</f>
        <v>9.6080290300434801E-2</v>
      </c>
      <c r="O119" t="str">
        <f>IF(Table1_1[[#This Row],[Date]] &lt; DATE(2025,1,1),"Before","During")</f>
        <v>During</v>
      </c>
    </row>
    <row r="120" spans="1:15">
      <c r="A120" s="30" t="s">
        <v>89</v>
      </c>
      <c r="B120" s="30" t="s">
        <v>14</v>
      </c>
      <c r="C120" s="44">
        <v>45722</v>
      </c>
      <c r="D120" s="30" t="s">
        <v>15</v>
      </c>
      <c r="E120" s="30" t="s">
        <v>34</v>
      </c>
      <c r="F120" s="30">
        <v>4851</v>
      </c>
      <c r="G120" s="30">
        <v>460</v>
      </c>
      <c r="H120" s="30">
        <v>212</v>
      </c>
      <c r="I120" s="30">
        <v>58075</v>
      </c>
      <c r="J120" s="30">
        <v>59574</v>
      </c>
      <c r="K120" s="30">
        <v>239</v>
      </c>
      <c r="L120" s="30" t="s">
        <v>20</v>
      </c>
      <c r="M120" s="30" t="s">
        <v>21</v>
      </c>
      <c r="N120" s="39">
        <f>(Table1_1[[#This Row],[Likes]]+Table1_1[[#This Row],[Shares]]+Table1_1[[#This Row],[Comments]])/Table1_1[[#This Row],[Impressions]]</f>
        <v>9.5101162290142052E-2</v>
      </c>
      <c r="O120" t="str">
        <f>IF(Table1_1[[#This Row],[Date]] &lt; DATE(2025,1,1),"Before","During")</f>
        <v>During</v>
      </c>
    </row>
    <row r="121" spans="1:15">
      <c r="A121" s="30" t="s">
        <v>185</v>
      </c>
      <c r="B121" s="30" t="s">
        <v>23</v>
      </c>
      <c r="C121" s="44">
        <v>45442</v>
      </c>
      <c r="D121" s="30" t="s">
        <v>24</v>
      </c>
      <c r="E121" s="30" t="s">
        <v>47</v>
      </c>
      <c r="F121" s="30">
        <v>2311</v>
      </c>
      <c r="G121" s="30">
        <v>207</v>
      </c>
      <c r="H121" s="30">
        <v>363</v>
      </c>
      <c r="I121" s="30">
        <v>30349</v>
      </c>
      <c r="J121" s="30">
        <v>32925</v>
      </c>
      <c r="K121" s="30">
        <v>88</v>
      </c>
      <c r="L121" s="30" t="s">
        <v>368</v>
      </c>
      <c r="M121" s="30" t="s">
        <v>17</v>
      </c>
      <c r="N121" s="39">
        <f>(Table1_1[[#This Row],[Likes]]+Table1_1[[#This Row],[Shares]]+Table1_1[[#This Row],[Comments]])/Table1_1[[#This Row],[Impressions]]</f>
        <v>9.4928992718046723E-2</v>
      </c>
      <c r="O121" t="str">
        <f>IF(Table1_1[[#This Row],[Date]] &lt; DATE(2025,1,1),"Before","During")</f>
        <v>Before</v>
      </c>
    </row>
    <row r="122" spans="1:15">
      <c r="A122" s="30" t="s">
        <v>133</v>
      </c>
      <c r="B122" s="30" t="s">
        <v>23</v>
      </c>
      <c r="C122" s="44">
        <v>45366</v>
      </c>
      <c r="D122" s="30" t="s">
        <v>24</v>
      </c>
      <c r="E122" s="30" t="s">
        <v>34</v>
      </c>
      <c r="F122" s="30">
        <v>4969</v>
      </c>
      <c r="G122" s="30">
        <v>433</v>
      </c>
      <c r="H122" s="30">
        <v>237</v>
      </c>
      <c r="I122" s="30">
        <v>59552</v>
      </c>
      <c r="J122" s="30">
        <v>23885</v>
      </c>
      <c r="K122" s="30">
        <v>157</v>
      </c>
      <c r="L122" s="30" t="s">
        <v>20</v>
      </c>
      <c r="M122" s="30" t="s">
        <v>17</v>
      </c>
      <c r="N122" s="39">
        <f>(Table1_1[[#This Row],[Likes]]+Table1_1[[#This Row],[Shares]]+Table1_1[[#This Row],[Comments]])/Table1_1[[#This Row],[Impressions]]</f>
        <v>9.4690354648038683E-2</v>
      </c>
      <c r="O122" t="str">
        <f>IF(Table1_1[[#This Row],[Date]] &lt; DATE(2025,1,1),"Before","During")</f>
        <v>Before</v>
      </c>
    </row>
    <row r="123" spans="1:15">
      <c r="A123" s="30" t="s">
        <v>252</v>
      </c>
      <c r="B123" s="30" t="s">
        <v>14</v>
      </c>
      <c r="C123" s="44">
        <v>45808</v>
      </c>
      <c r="D123" s="30" t="s">
        <v>15</v>
      </c>
      <c r="E123" s="30" t="s">
        <v>32</v>
      </c>
      <c r="F123" s="30">
        <v>2169</v>
      </c>
      <c r="G123" s="30">
        <v>240</v>
      </c>
      <c r="H123" s="30">
        <v>57</v>
      </c>
      <c r="I123" s="30">
        <v>26109</v>
      </c>
      <c r="J123" s="30">
        <v>46667</v>
      </c>
      <c r="K123" s="30">
        <v>133</v>
      </c>
      <c r="L123" s="30" t="s">
        <v>41</v>
      </c>
      <c r="M123" s="30" t="s">
        <v>17</v>
      </c>
      <c r="N123" s="39">
        <f>(Table1_1[[#This Row],[Likes]]+Table1_1[[#This Row],[Shares]]+Table1_1[[#This Row],[Comments]])/Table1_1[[#This Row],[Impressions]]</f>
        <v>9.4450189589796618E-2</v>
      </c>
      <c r="O123" t="str">
        <f>IF(Table1_1[[#This Row],[Date]] &lt; DATE(2025,1,1),"Before","During")</f>
        <v>During</v>
      </c>
    </row>
    <row r="124" spans="1:15">
      <c r="A124" s="30" t="s">
        <v>335</v>
      </c>
      <c r="B124" s="30" t="s">
        <v>14</v>
      </c>
      <c r="C124" s="44">
        <v>45329</v>
      </c>
      <c r="D124" s="30" t="s">
        <v>15</v>
      </c>
      <c r="E124" s="30" t="s">
        <v>30</v>
      </c>
      <c r="F124" s="30">
        <v>1883</v>
      </c>
      <c r="G124" s="30">
        <v>432</v>
      </c>
      <c r="H124" s="30">
        <v>397</v>
      </c>
      <c r="I124" s="30">
        <v>28759</v>
      </c>
      <c r="J124" s="30">
        <v>18691</v>
      </c>
      <c r="K124" s="30">
        <v>270</v>
      </c>
      <c r="L124" s="30" t="s">
        <v>41</v>
      </c>
      <c r="M124" s="30" t="s">
        <v>17</v>
      </c>
      <c r="N124" s="39">
        <f>(Table1_1[[#This Row],[Likes]]+Table1_1[[#This Row],[Shares]]+Table1_1[[#This Row],[Comments]])/Table1_1[[#This Row],[Impressions]]</f>
        <v>9.4300914496331587E-2</v>
      </c>
      <c r="O124" t="str">
        <f>IF(Table1_1[[#This Row],[Date]] &lt; DATE(2025,1,1),"Before","During")</f>
        <v>Before</v>
      </c>
    </row>
    <row r="125" spans="1:15">
      <c r="A125" s="30" t="s">
        <v>225</v>
      </c>
      <c r="B125" s="30" t="s">
        <v>14</v>
      </c>
      <c r="C125" s="44">
        <v>45673</v>
      </c>
      <c r="D125" s="30" t="s">
        <v>15</v>
      </c>
      <c r="E125" s="30" t="s">
        <v>30</v>
      </c>
      <c r="F125" s="30">
        <v>2605</v>
      </c>
      <c r="G125" s="30">
        <v>282</v>
      </c>
      <c r="H125" s="30">
        <v>148</v>
      </c>
      <c r="I125" s="30">
        <v>32201</v>
      </c>
      <c r="J125" s="30">
        <v>49583</v>
      </c>
      <c r="K125" s="30">
        <v>241</v>
      </c>
      <c r="L125" s="30" t="s">
        <v>41</v>
      </c>
      <c r="M125" s="30" t="s">
        <v>17</v>
      </c>
      <c r="N125" s="39">
        <f>(Table1_1[[#This Row],[Likes]]+Table1_1[[#This Row],[Shares]]+Table1_1[[#This Row],[Comments]])/Table1_1[[#This Row],[Impressions]]</f>
        <v>9.4251731312692155E-2</v>
      </c>
      <c r="O125" t="str">
        <f>IF(Table1_1[[#This Row],[Date]] &lt; DATE(2025,1,1),"Before","During")</f>
        <v>During</v>
      </c>
    </row>
    <row r="126" spans="1:15">
      <c r="A126" s="30" t="s">
        <v>310</v>
      </c>
      <c r="B126" s="30" t="s">
        <v>14</v>
      </c>
      <c r="C126" s="44">
        <v>45341</v>
      </c>
      <c r="D126" s="30" t="s">
        <v>15</v>
      </c>
      <c r="E126" s="30" t="s">
        <v>27</v>
      </c>
      <c r="F126" s="30">
        <v>4752</v>
      </c>
      <c r="G126" s="30">
        <v>449</v>
      </c>
      <c r="H126" s="30">
        <v>309</v>
      </c>
      <c r="I126" s="30">
        <v>58530</v>
      </c>
      <c r="J126" s="30">
        <v>26630</v>
      </c>
      <c r="K126" s="30">
        <v>234</v>
      </c>
      <c r="L126" s="30" t="s">
        <v>20</v>
      </c>
      <c r="M126" s="30" t="s">
        <v>21</v>
      </c>
      <c r="N126" s="39">
        <f>(Table1_1[[#This Row],[Likes]]+Table1_1[[#This Row],[Shares]]+Table1_1[[#This Row],[Comments]])/Table1_1[[#This Row],[Impressions]]</f>
        <v>9.4139757389372969E-2</v>
      </c>
      <c r="O126" t="str">
        <f>IF(Table1_1[[#This Row],[Date]] &lt; DATE(2025,1,1),"Before","During")</f>
        <v>Before</v>
      </c>
    </row>
    <row r="127" spans="1:15">
      <c r="A127" s="30" t="s">
        <v>156</v>
      </c>
      <c r="B127" s="30" t="s">
        <v>14</v>
      </c>
      <c r="C127" s="44">
        <v>45777</v>
      </c>
      <c r="D127" s="30" t="s">
        <v>24</v>
      </c>
      <c r="E127" s="30" t="s">
        <v>25</v>
      </c>
      <c r="F127" s="30">
        <v>3916</v>
      </c>
      <c r="G127" s="30">
        <v>459</v>
      </c>
      <c r="H127" s="30">
        <v>229</v>
      </c>
      <c r="I127" s="30">
        <v>48989</v>
      </c>
      <c r="J127" s="30">
        <v>39768</v>
      </c>
      <c r="K127" s="30">
        <v>200</v>
      </c>
      <c r="L127" s="30" t="s">
        <v>38</v>
      </c>
      <c r="M127" s="30" t="s">
        <v>51</v>
      </c>
      <c r="N127" s="39">
        <f>(Table1_1[[#This Row],[Likes]]+Table1_1[[#This Row],[Shares]]+Table1_1[[#This Row],[Comments]])/Table1_1[[#This Row],[Impressions]]</f>
        <v>9.3980281287635997E-2</v>
      </c>
      <c r="O127" t="str">
        <f>IF(Table1_1[[#This Row],[Date]] &lt; DATE(2025,1,1),"Before","During")</f>
        <v>During</v>
      </c>
    </row>
    <row r="128" spans="1:15">
      <c r="A128" s="30" t="s">
        <v>48</v>
      </c>
      <c r="B128" s="30" t="s">
        <v>23</v>
      </c>
      <c r="C128" s="44">
        <v>45655</v>
      </c>
      <c r="D128" s="30" t="s">
        <v>24</v>
      </c>
      <c r="E128" s="30" t="s">
        <v>25</v>
      </c>
      <c r="F128" s="30">
        <v>4049</v>
      </c>
      <c r="G128" s="30">
        <v>377</v>
      </c>
      <c r="H128" s="30">
        <v>94</v>
      </c>
      <c r="I128" s="30">
        <v>48182</v>
      </c>
      <c r="J128" s="30">
        <v>42875</v>
      </c>
      <c r="K128" s="30">
        <v>172</v>
      </c>
      <c r="L128" s="30" t="s">
        <v>368</v>
      </c>
      <c r="M128" s="30" t="s">
        <v>17</v>
      </c>
      <c r="N128" s="39">
        <f>(Table1_1[[#This Row],[Likes]]+Table1_1[[#This Row],[Shares]]+Table1_1[[#This Row],[Comments]])/Table1_1[[#This Row],[Impressions]]</f>
        <v>9.3810966751068869E-2</v>
      </c>
      <c r="O128" t="str">
        <f>IF(Table1_1[[#This Row],[Date]] &lt; DATE(2025,1,1),"Before","During")</f>
        <v>Before</v>
      </c>
    </row>
    <row r="129" spans="1:15">
      <c r="A129" s="30" t="s">
        <v>77</v>
      </c>
      <c r="B129" s="30" t="s">
        <v>14</v>
      </c>
      <c r="C129" s="44">
        <v>45683</v>
      </c>
      <c r="D129" s="30" t="s">
        <v>24</v>
      </c>
      <c r="E129" s="30" t="s">
        <v>32</v>
      </c>
      <c r="F129" s="30">
        <v>3451</v>
      </c>
      <c r="G129" s="30">
        <v>363</v>
      </c>
      <c r="H129" s="30">
        <v>393</v>
      </c>
      <c r="I129" s="30">
        <v>44853</v>
      </c>
      <c r="J129" s="30">
        <v>69032</v>
      </c>
      <c r="K129" s="30">
        <v>211</v>
      </c>
      <c r="L129" s="30" t="s">
        <v>38</v>
      </c>
      <c r="M129" s="30" t="s">
        <v>51</v>
      </c>
      <c r="N129" s="39">
        <f>(Table1_1[[#This Row],[Likes]]+Table1_1[[#This Row],[Shares]]+Table1_1[[#This Row],[Comments]])/Table1_1[[#This Row],[Impressions]]</f>
        <v>9.379528682585335E-2</v>
      </c>
      <c r="O129" t="str">
        <f>IF(Table1_1[[#This Row],[Date]] &lt; DATE(2025,1,1),"Before","During")</f>
        <v>During</v>
      </c>
    </row>
    <row r="130" spans="1:15">
      <c r="A130" s="30" t="s">
        <v>304</v>
      </c>
      <c r="B130" s="30" t="s">
        <v>29</v>
      </c>
      <c r="C130" s="44">
        <v>45464</v>
      </c>
      <c r="D130" s="30" t="s">
        <v>53</v>
      </c>
      <c r="E130" s="30" t="s">
        <v>30</v>
      </c>
      <c r="F130" s="30">
        <v>4621</v>
      </c>
      <c r="G130" s="30">
        <v>374</v>
      </c>
      <c r="H130" s="30">
        <v>298</v>
      </c>
      <c r="I130" s="30">
        <v>56979</v>
      </c>
      <c r="J130" s="30">
        <v>24098</v>
      </c>
      <c r="K130" s="30">
        <v>205</v>
      </c>
      <c r="L130" s="30" t="s">
        <v>20</v>
      </c>
      <c r="M130" s="30" t="s">
        <v>54</v>
      </c>
      <c r="N130" s="39">
        <f>(Table1_1[[#This Row],[Likes]]+Table1_1[[#This Row],[Shares]]+Table1_1[[#This Row],[Comments]])/Table1_1[[#This Row],[Impressions]]</f>
        <v>9.2893873181347508E-2</v>
      </c>
      <c r="O130" t="str">
        <f>IF(Table1_1[[#This Row],[Date]] &lt; DATE(2025,1,1),"Before","During")</f>
        <v>Before</v>
      </c>
    </row>
    <row r="131" spans="1:15">
      <c r="A131" s="30" t="s">
        <v>280</v>
      </c>
      <c r="B131" s="30" t="s">
        <v>23</v>
      </c>
      <c r="C131" s="44">
        <v>45666</v>
      </c>
      <c r="D131" s="30" t="s">
        <v>24</v>
      </c>
      <c r="E131" s="30" t="s">
        <v>47</v>
      </c>
      <c r="F131" s="30">
        <v>3817</v>
      </c>
      <c r="G131" s="30">
        <v>284</v>
      </c>
      <c r="H131" s="30">
        <v>204</v>
      </c>
      <c r="I131" s="30">
        <v>46434</v>
      </c>
      <c r="J131" s="30">
        <v>53396</v>
      </c>
      <c r="K131" s="30">
        <v>104</v>
      </c>
      <c r="L131" s="30" t="s">
        <v>368</v>
      </c>
      <c r="M131" s="30" t="s">
        <v>17</v>
      </c>
      <c r="N131" s="39">
        <f>(Table1_1[[#This Row],[Likes]]+Table1_1[[#This Row],[Shares]]+Table1_1[[#This Row],[Comments]])/Table1_1[[#This Row],[Impressions]]</f>
        <v>9.2712236723090841E-2</v>
      </c>
      <c r="O131" t="str">
        <f>IF(Table1_1[[#This Row],[Date]] &lt; DATE(2025,1,1),"Before","During")</f>
        <v>During</v>
      </c>
    </row>
    <row r="132" spans="1:15">
      <c r="A132" s="30" t="s">
        <v>178</v>
      </c>
      <c r="B132" s="30" t="s">
        <v>14</v>
      </c>
      <c r="C132" s="44">
        <v>45460</v>
      </c>
      <c r="D132" s="30" t="s">
        <v>15</v>
      </c>
      <c r="E132" s="30" t="s">
        <v>16</v>
      </c>
      <c r="F132" s="30">
        <v>4283</v>
      </c>
      <c r="G132" s="30">
        <v>471</v>
      </c>
      <c r="H132" s="30">
        <v>156</v>
      </c>
      <c r="I132" s="30">
        <v>53004</v>
      </c>
      <c r="J132" s="30">
        <v>25678</v>
      </c>
      <c r="K132" s="30">
        <v>105</v>
      </c>
      <c r="L132" s="30" t="s">
        <v>20</v>
      </c>
      <c r="M132" s="30" t="s">
        <v>21</v>
      </c>
      <c r="N132" s="39">
        <f>(Table1_1[[#This Row],[Likes]]+Table1_1[[#This Row],[Shares]]+Table1_1[[#This Row],[Comments]])/Table1_1[[#This Row],[Impressions]]</f>
        <v>9.2634518149573616E-2</v>
      </c>
      <c r="O132" t="str">
        <f>IF(Table1_1[[#This Row],[Date]] &lt; DATE(2025,1,1),"Before","During")</f>
        <v>Before</v>
      </c>
    </row>
    <row r="133" spans="1:15">
      <c r="A133" s="30" t="s">
        <v>167</v>
      </c>
      <c r="B133" s="30" t="s">
        <v>23</v>
      </c>
      <c r="C133" s="44">
        <v>45563</v>
      </c>
      <c r="D133" s="30" t="s">
        <v>15</v>
      </c>
      <c r="E133" s="30" t="s">
        <v>32</v>
      </c>
      <c r="F133" s="30">
        <v>4006</v>
      </c>
      <c r="G133" s="30">
        <v>420</v>
      </c>
      <c r="H133" s="30">
        <v>194</v>
      </c>
      <c r="I133" s="30">
        <v>49964</v>
      </c>
      <c r="J133" s="30">
        <v>20685</v>
      </c>
      <c r="K133" s="30">
        <v>148</v>
      </c>
      <c r="L133" s="30" t="s">
        <v>38</v>
      </c>
      <c r="M133" s="30" t="s">
        <v>17</v>
      </c>
      <c r="N133" s="39">
        <f>(Table1_1[[#This Row],[Likes]]+Table1_1[[#This Row],[Shares]]+Table1_1[[#This Row],[Comments]])/Table1_1[[#This Row],[Impressions]]</f>
        <v>9.2466575934672959E-2</v>
      </c>
      <c r="O133" t="str">
        <f>IF(Table1_1[[#This Row],[Date]] &lt; DATE(2025,1,1),"Before","During")</f>
        <v>Before</v>
      </c>
    </row>
    <row r="134" spans="1:15">
      <c r="A134" s="30" t="s">
        <v>187</v>
      </c>
      <c r="B134" s="30" t="s">
        <v>14</v>
      </c>
      <c r="C134" s="44">
        <v>45562</v>
      </c>
      <c r="D134" s="30" t="s">
        <v>15</v>
      </c>
      <c r="E134" s="30" t="s">
        <v>16</v>
      </c>
      <c r="F134" s="30">
        <v>3118</v>
      </c>
      <c r="G134" s="30">
        <v>116</v>
      </c>
      <c r="H134" s="30">
        <v>195</v>
      </c>
      <c r="I134" s="30">
        <v>37100</v>
      </c>
      <c r="J134" s="30">
        <v>62629</v>
      </c>
      <c r="K134" s="30">
        <v>272</v>
      </c>
      <c r="L134" s="30" t="s">
        <v>20</v>
      </c>
      <c r="M134" s="30" t="s">
        <v>21</v>
      </c>
      <c r="N134" s="39">
        <f>(Table1_1[[#This Row],[Likes]]+Table1_1[[#This Row],[Shares]]+Table1_1[[#This Row],[Comments]])/Table1_1[[#This Row],[Impressions]]</f>
        <v>9.2425876010781671E-2</v>
      </c>
      <c r="O134" t="str">
        <f>IF(Table1_1[[#This Row],[Date]] &lt; DATE(2025,1,1),"Before","During")</f>
        <v>Before</v>
      </c>
    </row>
    <row r="135" spans="1:15">
      <c r="A135" s="30" t="s">
        <v>201</v>
      </c>
      <c r="B135" s="30" t="s">
        <v>14</v>
      </c>
      <c r="C135" s="44">
        <v>45387</v>
      </c>
      <c r="D135" s="30" t="s">
        <v>15</v>
      </c>
      <c r="E135" s="30" t="s">
        <v>25</v>
      </c>
      <c r="F135" s="30">
        <v>4383</v>
      </c>
      <c r="G135" s="30">
        <v>352</v>
      </c>
      <c r="H135" s="30">
        <v>176</v>
      </c>
      <c r="I135" s="30">
        <v>53239</v>
      </c>
      <c r="J135" s="30">
        <v>34168</v>
      </c>
      <c r="K135" s="30">
        <v>288</v>
      </c>
      <c r="L135" s="30" t="s">
        <v>20</v>
      </c>
      <c r="M135" s="30" t="s">
        <v>21</v>
      </c>
      <c r="N135" s="39">
        <f>(Table1_1[[#This Row],[Likes]]+Table1_1[[#This Row],[Shares]]+Table1_1[[#This Row],[Comments]])/Table1_1[[#This Row],[Impressions]]</f>
        <v>9.2244407295403744E-2</v>
      </c>
      <c r="O135" t="str">
        <f>IF(Table1_1[[#This Row],[Date]] &lt; DATE(2025,1,1),"Before","During")</f>
        <v>Before</v>
      </c>
    </row>
    <row r="136" spans="1:15">
      <c r="A136" s="30" t="s">
        <v>99</v>
      </c>
      <c r="B136" s="30" t="s">
        <v>23</v>
      </c>
      <c r="C136" s="44">
        <v>45679</v>
      </c>
      <c r="D136" s="30" t="s">
        <v>24</v>
      </c>
      <c r="E136" s="30" t="s">
        <v>25</v>
      </c>
      <c r="F136" s="30">
        <v>4478</v>
      </c>
      <c r="G136" s="30">
        <v>101</v>
      </c>
      <c r="H136" s="30">
        <v>121</v>
      </c>
      <c r="I136" s="30">
        <v>51035</v>
      </c>
      <c r="J136" s="30">
        <v>58207</v>
      </c>
      <c r="K136" s="30">
        <v>205</v>
      </c>
      <c r="L136" s="30" t="s">
        <v>368</v>
      </c>
      <c r="M136" s="30" t="s">
        <v>17</v>
      </c>
      <c r="N136" s="39">
        <f>(Table1_1[[#This Row],[Likes]]+Table1_1[[#This Row],[Shares]]+Table1_1[[#This Row],[Comments]])/Table1_1[[#This Row],[Impressions]]</f>
        <v>9.2093661212893113E-2</v>
      </c>
      <c r="O136" t="str">
        <f>IF(Table1_1[[#This Row],[Date]] &lt; DATE(2025,1,1),"Before","During")</f>
        <v>During</v>
      </c>
    </row>
    <row r="137" spans="1:15">
      <c r="A137" s="30" t="s">
        <v>264</v>
      </c>
      <c r="B137" s="30" t="s">
        <v>29</v>
      </c>
      <c r="C137" s="44">
        <v>45346</v>
      </c>
      <c r="D137" s="30" t="s">
        <v>15</v>
      </c>
      <c r="E137" s="30" t="s">
        <v>30</v>
      </c>
      <c r="F137" s="30">
        <v>4653</v>
      </c>
      <c r="G137" s="30">
        <v>226</v>
      </c>
      <c r="H137" s="30">
        <v>349</v>
      </c>
      <c r="I137" s="30">
        <v>56876</v>
      </c>
      <c r="J137" s="30">
        <v>28452</v>
      </c>
      <c r="K137" s="30">
        <v>257</v>
      </c>
      <c r="L137" s="30" t="s">
        <v>20</v>
      </c>
      <c r="M137" s="30" t="s">
        <v>21</v>
      </c>
      <c r="N137" s="39">
        <f>(Table1_1[[#This Row],[Likes]]+Table1_1[[#This Row],[Shares]]+Table1_1[[#This Row],[Comments]])/Table1_1[[#This Row],[Impressions]]</f>
        <v>9.191926295801392E-2</v>
      </c>
      <c r="O137" t="str">
        <f>IF(Table1_1[[#This Row],[Date]] &lt; DATE(2025,1,1),"Before","During")</f>
        <v>Before</v>
      </c>
    </row>
    <row r="138" spans="1:15">
      <c r="A138" s="30" t="s">
        <v>300</v>
      </c>
      <c r="B138" s="30" t="s">
        <v>23</v>
      </c>
      <c r="C138" s="44">
        <v>45825</v>
      </c>
      <c r="D138" s="30" t="s">
        <v>24</v>
      </c>
      <c r="E138" s="30" t="s">
        <v>19</v>
      </c>
      <c r="F138" s="30">
        <v>4341</v>
      </c>
      <c r="G138" s="30">
        <v>141</v>
      </c>
      <c r="H138" s="30">
        <v>63</v>
      </c>
      <c r="I138" s="30">
        <v>50081</v>
      </c>
      <c r="J138" s="30">
        <v>27507</v>
      </c>
      <c r="K138" s="30">
        <v>221</v>
      </c>
      <c r="L138" s="30" t="s">
        <v>20</v>
      </c>
      <c r="M138" s="30" t="s">
        <v>17</v>
      </c>
      <c r="N138" s="39">
        <f>(Table1_1[[#This Row],[Likes]]+Table1_1[[#This Row],[Shares]]+Table1_1[[#This Row],[Comments]])/Table1_1[[#This Row],[Impressions]]</f>
        <v>9.0752980172121162E-2</v>
      </c>
      <c r="O138" t="str">
        <f>IF(Table1_1[[#This Row],[Date]] &lt; DATE(2025,1,1),"Before","During")</f>
        <v>During</v>
      </c>
    </row>
    <row r="139" spans="1:15">
      <c r="A139" s="30" t="s">
        <v>101</v>
      </c>
      <c r="B139" s="30" t="s">
        <v>14</v>
      </c>
      <c r="C139" s="44">
        <v>45763</v>
      </c>
      <c r="D139" s="30" t="s">
        <v>15</v>
      </c>
      <c r="E139" s="30" t="s">
        <v>27</v>
      </c>
      <c r="F139" s="30">
        <v>4836</v>
      </c>
      <c r="G139" s="30">
        <v>331</v>
      </c>
      <c r="H139" s="30">
        <v>140</v>
      </c>
      <c r="I139" s="30">
        <v>58792</v>
      </c>
      <c r="J139" s="30">
        <v>47711</v>
      </c>
      <c r="K139" s="30">
        <v>227</v>
      </c>
      <c r="L139" s="30" t="s">
        <v>41</v>
      </c>
      <c r="M139" s="30" t="s">
        <v>17</v>
      </c>
      <c r="N139" s="39">
        <f>(Table1_1[[#This Row],[Likes]]+Table1_1[[#This Row],[Shares]]+Table1_1[[#This Row],[Comments]])/Table1_1[[#This Row],[Impressions]]</f>
        <v>9.0267383317458164E-2</v>
      </c>
      <c r="O139" t="str">
        <f>IF(Table1_1[[#This Row],[Date]] &lt; DATE(2025,1,1),"Before","During")</f>
        <v>During</v>
      </c>
    </row>
    <row r="140" spans="1:15">
      <c r="A140" s="30" t="s">
        <v>227</v>
      </c>
      <c r="B140" s="30" t="s">
        <v>23</v>
      </c>
      <c r="C140" s="44">
        <v>45551</v>
      </c>
      <c r="D140" s="30" t="s">
        <v>24</v>
      </c>
      <c r="E140" s="30" t="s">
        <v>32</v>
      </c>
      <c r="F140" s="30">
        <v>4422</v>
      </c>
      <c r="G140" s="30">
        <v>434</v>
      </c>
      <c r="H140" s="30">
        <v>156</v>
      </c>
      <c r="I140" s="30">
        <v>56165</v>
      </c>
      <c r="J140" s="30">
        <v>52431</v>
      </c>
      <c r="K140" s="30">
        <v>173</v>
      </c>
      <c r="L140" s="30" t="s">
        <v>20</v>
      </c>
      <c r="M140" s="30" t="s">
        <v>17</v>
      </c>
      <c r="N140" s="39">
        <f>(Table1_1[[#This Row],[Likes]]+Table1_1[[#This Row],[Shares]]+Table1_1[[#This Row],[Comments]])/Table1_1[[#This Row],[Impressions]]</f>
        <v>8.9237069349238848E-2</v>
      </c>
      <c r="O140" t="str">
        <f>IF(Table1_1[[#This Row],[Date]] &lt; DATE(2025,1,1),"Before","During")</f>
        <v>Before</v>
      </c>
    </row>
    <row r="141" spans="1:15">
      <c r="A141" s="30" t="s">
        <v>139</v>
      </c>
      <c r="B141" s="30" t="s">
        <v>23</v>
      </c>
      <c r="C141" s="44">
        <v>45413</v>
      </c>
      <c r="D141" s="30" t="s">
        <v>24</v>
      </c>
      <c r="E141" s="30" t="s">
        <v>32</v>
      </c>
      <c r="F141" s="30">
        <v>2587</v>
      </c>
      <c r="G141" s="30">
        <v>447</v>
      </c>
      <c r="H141" s="30">
        <v>183</v>
      </c>
      <c r="I141" s="30">
        <v>36266</v>
      </c>
      <c r="J141" s="30">
        <v>32877</v>
      </c>
      <c r="K141" s="30">
        <v>132</v>
      </c>
      <c r="L141" s="30" t="s">
        <v>20</v>
      </c>
      <c r="M141" s="30" t="s">
        <v>17</v>
      </c>
      <c r="N141" s="39">
        <f>(Table1_1[[#This Row],[Likes]]+Table1_1[[#This Row],[Shares]]+Table1_1[[#This Row],[Comments]])/Table1_1[[#This Row],[Impressions]]</f>
        <v>8.8705674736667947E-2</v>
      </c>
      <c r="O141" t="str">
        <f>IF(Table1_1[[#This Row],[Date]] &lt; DATE(2025,1,1),"Before","During")</f>
        <v>Before</v>
      </c>
    </row>
    <row r="142" spans="1:15">
      <c r="A142" s="30" t="s">
        <v>93</v>
      </c>
      <c r="B142" s="30" t="s">
        <v>29</v>
      </c>
      <c r="C142" s="44">
        <v>45490</v>
      </c>
      <c r="D142" s="30" t="s">
        <v>15</v>
      </c>
      <c r="E142" s="30" t="s">
        <v>37</v>
      </c>
      <c r="F142" s="30">
        <v>3135</v>
      </c>
      <c r="G142" s="30">
        <v>110</v>
      </c>
      <c r="H142" s="30">
        <v>215</v>
      </c>
      <c r="I142" s="30">
        <v>39192</v>
      </c>
      <c r="J142" s="30">
        <v>24744</v>
      </c>
      <c r="K142" s="30">
        <v>177</v>
      </c>
      <c r="L142" s="30" t="s">
        <v>20</v>
      </c>
      <c r="M142" s="30" t="s">
        <v>21</v>
      </c>
      <c r="N142" s="39">
        <f>(Table1_1[[#This Row],[Likes]]+Table1_1[[#This Row],[Shares]]+Table1_1[[#This Row],[Comments]])/Table1_1[[#This Row],[Impressions]]</f>
        <v>8.8283323127168814E-2</v>
      </c>
      <c r="O142" t="str">
        <f>IF(Table1_1[[#This Row],[Date]] &lt; DATE(2025,1,1),"Before","During")</f>
        <v>Before</v>
      </c>
    </row>
    <row r="143" spans="1:15">
      <c r="A143" s="30" t="s">
        <v>116</v>
      </c>
      <c r="B143" s="30" t="s">
        <v>23</v>
      </c>
      <c r="C143" s="44">
        <v>45723</v>
      </c>
      <c r="D143" s="30" t="s">
        <v>15</v>
      </c>
      <c r="E143" s="30" t="s">
        <v>34</v>
      </c>
      <c r="F143" s="30">
        <v>4234</v>
      </c>
      <c r="G143" s="30">
        <v>486</v>
      </c>
      <c r="H143" s="30">
        <v>276</v>
      </c>
      <c r="I143" s="30">
        <v>56623</v>
      </c>
      <c r="J143" s="30">
        <v>41343</v>
      </c>
      <c r="K143" s="30">
        <v>184</v>
      </c>
      <c r="L143" s="30" t="s">
        <v>41</v>
      </c>
      <c r="M143" s="30" t="s">
        <v>21</v>
      </c>
      <c r="N143" s="39">
        <f>(Table1_1[[#This Row],[Likes]]+Table1_1[[#This Row],[Shares]]+Table1_1[[#This Row],[Comments]])/Table1_1[[#This Row],[Impressions]]</f>
        <v>8.8232696960599044E-2</v>
      </c>
      <c r="O143" t="str">
        <f>IF(Table1_1[[#This Row],[Date]] &lt; DATE(2025,1,1),"Before","During")</f>
        <v>During</v>
      </c>
    </row>
    <row r="144" spans="1:15">
      <c r="A144" s="30" t="s">
        <v>96</v>
      </c>
      <c r="B144" s="30" t="s">
        <v>29</v>
      </c>
      <c r="C144" s="44">
        <v>45292</v>
      </c>
      <c r="D144" s="30" t="s">
        <v>53</v>
      </c>
      <c r="E144" s="30" t="s">
        <v>19</v>
      </c>
      <c r="F144" s="30">
        <v>3437</v>
      </c>
      <c r="G144" s="30">
        <v>129</v>
      </c>
      <c r="H144" s="30">
        <v>359</v>
      </c>
      <c r="I144" s="30">
        <v>44558</v>
      </c>
      <c r="J144" s="30">
        <v>30854</v>
      </c>
      <c r="K144" s="30">
        <v>171</v>
      </c>
      <c r="L144" s="30" t="s">
        <v>20</v>
      </c>
      <c r="M144" s="30" t="s">
        <v>54</v>
      </c>
      <c r="N144" s="39">
        <f>(Table1_1[[#This Row],[Likes]]+Table1_1[[#This Row],[Shares]]+Table1_1[[#This Row],[Comments]])/Table1_1[[#This Row],[Impressions]]</f>
        <v>8.8087436599488311E-2</v>
      </c>
      <c r="O144" t="str">
        <f>IF(Table1_1[[#This Row],[Date]] &lt; DATE(2025,1,1),"Before","During")</f>
        <v>Before</v>
      </c>
    </row>
    <row r="145" spans="1:15">
      <c r="A145" s="30" t="s">
        <v>35</v>
      </c>
      <c r="B145" s="30" t="s">
        <v>23</v>
      </c>
      <c r="C145" s="44">
        <v>45421</v>
      </c>
      <c r="D145" s="30" t="s">
        <v>24</v>
      </c>
      <c r="E145" s="30" t="s">
        <v>27</v>
      </c>
      <c r="F145" s="30">
        <v>1428</v>
      </c>
      <c r="G145" s="30">
        <v>347</v>
      </c>
      <c r="H145" s="30">
        <v>67</v>
      </c>
      <c r="I145" s="30">
        <v>21148</v>
      </c>
      <c r="J145" s="30">
        <v>19712</v>
      </c>
      <c r="K145" s="30">
        <v>120</v>
      </c>
      <c r="L145" s="30" t="s">
        <v>20</v>
      </c>
      <c r="M145" s="30" t="s">
        <v>17</v>
      </c>
      <c r="N145" s="39">
        <f>(Table1_1[[#This Row],[Likes]]+Table1_1[[#This Row],[Shares]]+Table1_1[[#This Row],[Comments]])/Table1_1[[#This Row],[Impressions]]</f>
        <v>8.7100435029317191E-2</v>
      </c>
      <c r="O145" t="str">
        <f>IF(Table1_1[[#This Row],[Date]] &lt; DATE(2025,1,1),"Before","During")</f>
        <v>Before</v>
      </c>
    </row>
    <row r="146" spans="1:15">
      <c r="A146" s="30" t="s">
        <v>18</v>
      </c>
      <c r="B146" s="30" t="s">
        <v>14</v>
      </c>
      <c r="C146" s="44">
        <v>45689</v>
      </c>
      <c r="D146" s="30" t="s">
        <v>15</v>
      </c>
      <c r="E146" s="30" t="s">
        <v>19</v>
      </c>
      <c r="F146" s="30">
        <v>1934</v>
      </c>
      <c r="G146" s="30">
        <v>210</v>
      </c>
      <c r="H146" s="30">
        <v>393</v>
      </c>
      <c r="I146" s="30">
        <v>29129</v>
      </c>
      <c r="J146" s="30">
        <v>73287</v>
      </c>
      <c r="K146" s="30">
        <v>273</v>
      </c>
      <c r="L146" s="30" t="s">
        <v>20</v>
      </c>
      <c r="M146" s="30" t="s">
        <v>21</v>
      </c>
      <c r="N146" s="39">
        <f>(Table1_1[[#This Row],[Likes]]+Table1_1[[#This Row],[Shares]]+Table1_1[[#This Row],[Comments]])/Table1_1[[#This Row],[Impressions]]</f>
        <v>8.7095334546328396E-2</v>
      </c>
      <c r="O146" t="str">
        <f>IF(Table1_1[[#This Row],[Date]] &lt; DATE(2025,1,1),"Before","During")</f>
        <v>During</v>
      </c>
    </row>
    <row r="147" spans="1:15">
      <c r="A147" s="30" t="s">
        <v>175</v>
      </c>
      <c r="B147" s="30" t="s">
        <v>23</v>
      </c>
      <c r="C147" s="44">
        <v>45531</v>
      </c>
      <c r="D147" s="30" t="s">
        <v>24</v>
      </c>
      <c r="E147" s="30" t="s">
        <v>25</v>
      </c>
      <c r="F147" s="30">
        <v>1856</v>
      </c>
      <c r="G147" s="30">
        <v>357</v>
      </c>
      <c r="H147" s="30">
        <v>348</v>
      </c>
      <c r="I147" s="30">
        <v>29428</v>
      </c>
      <c r="J147" s="30">
        <v>70206</v>
      </c>
      <c r="K147" s="30">
        <v>236</v>
      </c>
      <c r="L147" s="30" t="s">
        <v>368</v>
      </c>
      <c r="M147" s="30" t="s">
        <v>17</v>
      </c>
      <c r="N147" s="39">
        <f>(Table1_1[[#This Row],[Likes]]+Table1_1[[#This Row],[Shares]]+Table1_1[[#This Row],[Comments]])/Table1_1[[#This Row],[Impressions]]</f>
        <v>8.702596166915863E-2</v>
      </c>
      <c r="O147" t="str">
        <f>IF(Table1_1[[#This Row],[Date]] &lt; DATE(2025,1,1),"Before","During")</f>
        <v>Before</v>
      </c>
    </row>
    <row r="148" spans="1:15">
      <c r="A148" s="30" t="s">
        <v>150</v>
      </c>
      <c r="B148" s="30" t="s">
        <v>14</v>
      </c>
      <c r="C148" s="44">
        <v>45762</v>
      </c>
      <c r="D148" s="30" t="s">
        <v>15</v>
      </c>
      <c r="E148" s="30" t="s">
        <v>19</v>
      </c>
      <c r="F148" s="30">
        <v>4177</v>
      </c>
      <c r="G148" s="30">
        <v>489</v>
      </c>
      <c r="H148" s="30">
        <v>331</v>
      </c>
      <c r="I148" s="30">
        <v>57451</v>
      </c>
      <c r="J148" s="30">
        <v>73793</v>
      </c>
      <c r="K148" s="30">
        <v>251</v>
      </c>
      <c r="L148" s="30" t="s">
        <v>20</v>
      </c>
      <c r="M148" s="30" t="s">
        <v>21</v>
      </c>
      <c r="N148" s="39">
        <f>(Table1_1[[#This Row],[Likes]]+Table1_1[[#This Row],[Shares]]+Table1_1[[#This Row],[Comments]])/Table1_1[[#This Row],[Impressions]]</f>
        <v>8.6978468608031198E-2</v>
      </c>
      <c r="O148" t="str">
        <f>IF(Table1_1[[#This Row],[Date]] &lt; DATE(2025,1,1),"Before","During")</f>
        <v>During</v>
      </c>
    </row>
    <row r="149" spans="1:15">
      <c r="A149" s="30" t="s">
        <v>257</v>
      </c>
      <c r="B149" s="30" t="s">
        <v>23</v>
      </c>
      <c r="C149" s="44">
        <v>45829</v>
      </c>
      <c r="D149" s="30" t="s">
        <v>15</v>
      </c>
      <c r="E149" s="30" t="s">
        <v>19</v>
      </c>
      <c r="F149" s="30">
        <v>3611</v>
      </c>
      <c r="G149" s="30">
        <v>127</v>
      </c>
      <c r="H149" s="30">
        <v>139</v>
      </c>
      <c r="I149" s="30">
        <v>44768</v>
      </c>
      <c r="J149" s="30">
        <v>29435</v>
      </c>
      <c r="K149" s="30">
        <v>178</v>
      </c>
      <c r="L149" s="30" t="s">
        <v>38</v>
      </c>
      <c r="M149" s="30" t="s">
        <v>17</v>
      </c>
      <c r="N149" s="39">
        <f>(Table1_1[[#This Row],[Likes]]+Table1_1[[#This Row],[Shares]]+Table1_1[[#This Row],[Comments]])/Table1_1[[#This Row],[Impressions]]</f>
        <v>8.6602037169406718E-2</v>
      </c>
      <c r="O149" t="str">
        <f>IF(Table1_1[[#This Row],[Date]] &lt; DATE(2025,1,1),"Before","During")</f>
        <v>During</v>
      </c>
    </row>
    <row r="150" spans="1:15">
      <c r="A150" s="30" t="s">
        <v>142</v>
      </c>
      <c r="B150" s="30" t="s">
        <v>23</v>
      </c>
      <c r="C150" s="44">
        <v>45670</v>
      </c>
      <c r="D150" s="30" t="s">
        <v>15</v>
      </c>
      <c r="E150" s="30" t="s">
        <v>30</v>
      </c>
      <c r="F150" s="30">
        <v>4090</v>
      </c>
      <c r="G150" s="30">
        <v>209</v>
      </c>
      <c r="H150" s="30">
        <v>278</v>
      </c>
      <c r="I150" s="30">
        <v>52853</v>
      </c>
      <c r="J150" s="30">
        <v>57084</v>
      </c>
      <c r="K150" s="30">
        <v>102</v>
      </c>
      <c r="L150" s="30" t="s">
        <v>41</v>
      </c>
      <c r="M150" s="30" t="s">
        <v>21</v>
      </c>
      <c r="N150" s="39">
        <f>(Table1_1[[#This Row],[Likes]]+Table1_1[[#This Row],[Shares]]+Table1_1[[#This Row],[Comments]])/Table1_1[[#This Row],[Impressions]]</f>
        <v>8.6598679355949518E-2</v>
      </c>
      <c r="O150" t="str">
        <f>IF(Table1_1[[#This Row],[Date]] &lt; DATE(2025,1,1),"Before","During")</f>
        <v>During</v>
      </c>
    </row>
    <row r="151" spans="1:15">
      <c r="A151" s="30" t="s">
        <v>279</v>
      </c>
      <c r="B151" s="30" t="s">
        <v>29</v>
      </c>
      <c r="C151" s="44">
        <v>45816</v>
      </c>
      <c r="D151" s="30" t="s">
        <v>15</v>
      </c>
      <c r="E151" s="30" t="s">
        <v>30</v>
      </c>
      <c r="F151" s="30">
        <v>4375</v>
      </c>
      <c r="G151" s="30">
        <v>303</v>
      </c>
      <c r="H151" s="30">
        <v>294</v>
      </c>
      <c r="I151" s="30">
        <v>57468</v>
      </c>
      <c r="J151" s="30">
        <v>53397</v>
      </c>
      <c r="K151" s="30">
        <v>159</v>
      </c>
      <c r="L151" s="30" t="s">
        <v>20</v>
      </c>
      <c r="M151" s="30" t="s">
        <v>21</v>
      </c>
      <c r="N151" s="39">
        <f>(Table1_1[[#This Row],[Likes]]+Table1_1[[#This Row],[Shares]]+Table1_1[[#This Row],[Comments]])/Table1_1[[#This Row],[Impressions]]</f>
        <v>8.6517714206166912E-2</v>
      </c>
      <c r="O151" t="str">
        <f>IF(Table1_1[[#This Row],[Date]] &lt; DATE(2025,1,1),"Before","During")</f>
        <v>During</v>
      </c>
    </row>
    <row r="152" spans="1:15">
      <c r="A152" s="30" t="s">
        <v>318</v>
      </c>
      <c r="B152" s="30" t="s">
        <v>14</v>
      </c>
      <c r="C152" s="44">
        <v>45531</v>
      </c>
      <c r="D152" s="30" t="s">
        <v>15</v>
      </c>
      <c r="E152" s="30" t="s">
        <v>30</v>
      </c>
      <c r="F152" s="30">
        <v>4197</v>
      </c>
      <c r="G152" s="30">
        <v>359</v>
      </c>
      <c r="H152" s="30">
        <v>280</v>
      </c>
      <c r="I152" s="30">
        <v>56048</v>
      </c>
      <c r="J152" s="30">
        <v>70930</v>
      </c>
      <c r="K152" s="30">
        <v>295</v>
      </c>
      <c r="L152" s="30" t="s">
        <v>20</v>
      </c>
      <c r="M152" s="30" t="s">
        <v>21</v>
      </c>
      <c r="N152" s="39">
        <f>(Table1_1[[#This Row],[Likes]]+Table1_1[[#This Row],[Shares]]+Table1_1[[#This Row],[Comments]])/Table1_1[[#This Row],[Impressions]]</f>
        <v>8.628318584070796E-2</v>
      </c>
      <c r="O152" t="str">
        <f>IF(Table1_1[[#This Row],[Date]] &lt; DATE(2025,1,1),"Before","During")</f>
        <v>Before</v>
      </c>
    </row>
    <row r="153" spans="1:15">
      <c r="A153" s="30" t="s">
        <v>220</v>
      </c>
      <c r="B153" s="30" t="s">
        <v>29</v>
      </c>
      <c r="C153" s="44">
        <v>45769</v>
      </c>
      <c r="D153" s="30" t="s">
        <v>53</v>
      </c>
      <c r="E153" s="30" t="s">
        <v>25</v>
      </c>
      <c r="F153" s="30">
        <v>2733</v>
      </c>
      <c r="G153" s="30">
        <v>297</v>
      </c>
      <c r="H153" s="30">
        <v>235</v>
      </c>
      <c r="I153" s="30">
        <v>37980</v>
      </c>
      <c r="J153" s="30">
        <v>33058</v>
      </c>
      <c r="K153" s="30">
        <v>219</v>
      </c>
      <c r="L153" s="30" t="s">
        <v>20</v>
      </c>
      <c r="M153" s="30" t="s">
        <v>54</v>
      </c>
      <c r="N153" s="39">
        <f>(Table1_1[[#This Row],[Likes]]+Table1_1[[#This Row],[Shares]]+Table1_1[[#This Row],[Comments]])/Table1_1[[#This Row],[Impressions]]</f>
        <v>8.5966298051606105E-2</v>
      </c>
      <c r="O153" t="str">
        <f>IF(Table1_1[[#This Row],[Date]] &lt; DATE(2025,1,1),"Before","During")</f>
        <v>During</v>
      </c>
    </row>
    <row r="154" spans="1:15">
      <c r="A154" s="30" t="s">
        <v>292</v>
      </c>
      <c r="B154" s="30" t="s">
        <v>23</v>
      </c>
      <c r="C154" s="44">
        <v>45451</v>
      </c>
      <c r="D154" s="30" t="s">
        <v>24</v>
      </c>
      <c r="E154" s="30" t="s">
        <v>37</v>
      </c>
      <c r="F154" s="30">
        <v>3413</v>
      </c>
      <c r="G154" s="30">
        <v>326</v>
      </c>
      <c r="H154" s="30">
        <v>86</v>
      </c>
      <c r="I154" s="30">
        <v>44680</v>
      </c>
      <c r="J154" s="30">
        <v>52719</v>
      </c>
      <c r="K154" s="30">
        <v>272</v>
      </c>
      <c r="L154" s="30" t="s">
        <v>20</v>
      </c>
      <c r="M154" s="30" t="s">
        <v>17</v>
      </c>
      <c r="N154" s="39">
        <f>(Table1_1[[#This Row],[Likes]]+Table1_1[[#This Row],[Shares]]+Table1_1[[#This Row],[Comments]])/Table1_1[[#This Row],[Impressions]]</f>
        <v>8.5608773500447627E-2</v>
      </c>
      <c r="O154" t="str">
        <f>IF(Table1_1[[#This Row],[Date]] &lt; DATE(2025,1,1),"Before","During")</f>
        <v>Before</v>
      </c>
    </row>
    <row r="155" spans="1:15">
      <c r="A155" s="30" t="s">
        <v>159</v>
      </c>
      <c r="B155" s="30" t="s">
        <v>23</v>
      </c>
      <c r="C155" s="44">
        <v>45421</v>
      </c>
      <c r="D155" s="30" t="s">
        <v>24</v>
      </c>
      <c r="E155" s="30" t="s">
        <v>25</v>
      </c>
      <c r="F155" s="30">
        <v>3277</v>
      </c>
      <c r="G155" s="30">
        <v>423</v>
      </c>
      <c r="H155" s="30">
        <v>259</v>
      </c>
      <c r="I155" s="30">
        <v>46328</v>
      </c>
      <c r="J155" s="30">
        <v>44293</v>
      </c>
      <c r="K155" s="30">
        <v>299</v>
      </c>
      <c r="L155" s="30" t="s">
        <v>41</v>
      </c>
      <c r="M155" s="30" t="s">
        <v>17</v>
      </c>
      <c r="N155" s="39">
        <f>(Table1_1[[#This Row],[Likes]]+Table1_1[[#This Row],[Shares]]+Table1_1[[#This Row],[Comments]])/Table1_1[[#This Row],[Impressions]]</f>
        <v>8.5455879813503707E-2</v>
      </c>
      <c r="O155" t="str">
        <f>IF(Table1_1[[#This Row],[Date]] &lt; DATE(2025,1,1),"Before","During")</f>
        <v>Before</v>
      </c>
    </row>
    <row r="156" spans="1:15">
      <c r="A156" s="30" t="s">
        <v>44</v>
      </c>
      <c r="B156" s="30" t="s">
        <v>23</v>
      </c>
      <c r="C156" s="44">
        <v>45573</v>
      </c>
      <c r="D156" s="30" t="s">
        <v>15</v>
      </c>
      <c r="E156" s="30" t="s">
        <v>45</v>
      </c>
      <c r="F156" s="30">
        <v>2460</v>
      </c>
      <c r="G156" s="30">
        <v>409</v>
      </c>
      <c r="H156" s="30">
        <v>253</v>
      </c>
      <c r="I156" s="30">
        <v>36702</v>
      </c>
      <c r="J156" s="30">
        <v>46122</v>
      </c>
      <c r="K156" s="30">
        <v>264</v>
      </c>
      <c r="L156" s="30" t="s">
        <v>38</v>
      </c>
      <c r="M156" s="30" t="s">
        <v>17</v>
      </c>
      <c r="N156" s="39">
        <f>(Table1_1[[#This Row],[Likes]]+Table1_1[[#This Row],[Shares]]+Table1_1[[#This Row],[Comments]])/Table1_1[[#This Row],[Impressions]]</f>
        <v>8.5063484278785892E-2</v>
      </c>
      <c r="O156" t="str">
        <f>IF(Table1_1[[#This Row],[Date]] &lt; DATE(2025,1,1),"Before","During")</f>
        <v>Before</v>
      </c>
    </row>
    <row r="157" spans="1:15">
      <c r="A157" s="30" t="s">
        <v>322</v>
      </c>
      <c r="B157" s="30" t="s">
        <v>29</v>
      </c>
      <c r="C157" s="44">
        <v>45468</v>
      </c>
      <c r="D157" s="30" t="s">
        <v>15</v>
      </c>
      <c r="E157" s="30" t="s">
        <v>47</v>
      </c>
      <c r="F157" s="30">
        <v>2172</v>
      </c>
      <c r="G157" s="30">
        <v>338</v>
      </c>
      <c r="H157" s="30">
        <v>70</v>
      </c>
      <c r="I157" s="30">
        <v>30515</v>
      </c>
      <c r="J157" s="30">
        <v>57853</v>
      </c>
      <c r="K157" s="30">
        <v>156</v>
      </c>
      <c r="L157" s="30" t="s">
        <v>20</v>
      </c>
      <c r="M157" s="30" t="s">
        <v>21</v>
      </c>
      <c r="N157" s="39">
        <f>(Table1_1[[#This Row],[Likes]]+Table1_1[[#This Row],[Shares]]+Table1_1[[#This Row],[Comments]])/Table1_1[[#This Row],[Impressions]]</f>
        <v>8.4548582664263475E-2</v>
      </c>
      <c r="O157" t="str">
        <f>IF(Table1_1[[#This Row],[Date]] &lt; DATE(2025,1,1),"Before","During")</f>
        <v>Before</v>
      </c>
    </row>
    <row r="158" spans="1:15">
      <c r="A158" s="30" t="s">
        <v>204</v>
      </c>
      <c r="B158" s="30" t="s">
        <v>29</v>
      </c>
      <c r="C158" s="44">
        <v>45660</v>
      </c>
      <c r="D158" s="30" t="s">
        <v>15</v>
      </c>
      <c r="E158" s="30" t="s">
        <v>25</v>
      </c>
      <c r="F158" s="30">
        <v>3782</v>
      </c>
      <c r="G158" s="30">
        <v>484</v>
      </c>
      <c r="H158" s="30">
        <v>144</v>
      </c>
      <c r="I158" s="30">
        <v>52172</v>
      </c>
      <c r="J158" s="30">
        <v>59386</v>
      </c>
      <c r="K158" s="30">
        <v>175</v>
      </c>
      <c r="L158" s="30" t="s">
        <v>20</v>
      </c>
      <c r="M158" s="30" t="s">
        <v>21</v>
      </c>
      <c r="N158" s="39">
        <f>(Table1_1[[#This Row],[Likes]]+Table1_1[[#This Row],[Shares]]+Table1_1[[#This Row],[Comments]])/Table1_1[[#This Row],[Impressions]]</f>
        <v>8.4528099363643333E-2</v>
      </c>
      <c r="O158" t="str">
        <f>IF(Table1_1[[#This Row],[Date]] &lt; DATE(2025,1,1),"Before","During")</f>
        <v>During</v>
      </c>
    </row>
    <row r="159" spans="1:15">
      <c r="A159" s="30" t="s">
        <v>40</v>
      </c>
      <c r="B159" s="30" t="s">
        <v>23</v>
      </c>
      <c r="C159" s="44">
        <v>45357</v>
      </c>
      <c r="D159" s="30" t="s">
        <v>15</v>
      </c>
      <c r="E159" s="30" t="s">
        <v>16</v>
      </c>
      <c r="F159" s="30">
        <v>1971</v>
      </c>
      <c r="G159" s="30">
        <v>370</v>
      </c>
      <c r="H159" s="30">
        <v>306</v>
      </c>
      <c r="I159" s="30">
        <v>31316</v>
      </c>
      <c r="J159" s="30">
        <v>27897</v>
      </c>
      <c r="K159" s="30">
        <v>88</v>
      </c>
      <c r="L159" s="30" t="s">
        <v>41</v>
      </c>
      <c r="M159" s="30" t="s">
        <v>21</v>
      </c>
      <c r="N159" s="39">
        <f>(Table1_1[[#This Row],[Likes]]+Table1_1[[#This Row],[Shares]]+Table1_1[[#This Row],[Comments]])/Table1_1[[#This Row],[Impressions]]</f>
        <v>8.4525482181632389E-2</v>
      </c>
      <c r="O159" t="str">
        <f>IF(Table1_1[[#This Row],[Date]] &lt; DATE(2025,1,1),"Before","During")</f>
        <v>Before</v>
      </c>
    </row>
    <row r="160" spans="1:15">
      <c r="A160" s="30" t="s">
        <v>211</v>
      </c>
      <c r="B160" s="30" t="s">
        <v>14</v>
      </c>
      <c r="C160" s="44">
        <v>45475</v>
      </c>
      <c r="D160" s="30" t="s">
        <v>15</v>
      </c>
      <c r="E160" s="30" t="s">
        <v>37</v>
      </c>
      <c r="F160" s="30">
        <v>3469</v>
      </c>
      <c r="G160" s="30">
        <v>371</v>
      </c>
      <c r="H160" s="30">
        <v>76</v>
      </c>
      <c r="I160" s="30">
        <v>46493</v>
      </c>
      <c r="J160" s="30">
        <v>26906</v>
      </c>
      <c r="K160" s="30">
        <v>150</v>
      </c>
      <c r="L160" s="30" t="s">
        <v>41</v>
      </c>
      <c r="M160" s="30" t="s">
        <v>17</v>
      </c>
      <c r="N160" s="39">
        <f>(Table1_1[[#This Row],[Likes]]+Table1_1[[#This Row],[Shares]]+Table1_1[[#This Row],[Comments]])/Table1_1[[#This Row],[Impressions]]</f>
        <v>8.4227733207149463E-2</v>
      </c>
      <c r="O160" t="str">
        <f>IF(Table1_1[[#This Row],[Date]] &lt; DATE(2025,1,1),"Before","During")</f>
        <v>Before</v>
      </c>
    </row>
    <row r="161" spans="1:15">
      <c r="A161" s="30" t="s">
        <v>319</v>
      </c>
      <c r="B161" s="30" t="s">
        <v>14</v>
      </c>
      <c r="C161" s="44">
        <v>45589</v>
      </c>
      <c r="D161" s="30" t="s">
        <v>24</v>
      </c>
      <c r="E161" s="30" t="s">
        <v>37</v>
      </c>
      <c r="F161" s="30">
        <v>1914</v>
      </c>
      <c r="G161" s="30">
        <v>255</v>
      </c>
      <c r="H161" s="30">
        <v>156</v>
      </c>
      <c r="I161" s="30">
        <v>27660</v>
      </c>
      <c r="J161" s="30">
        <v>47776</v>
      </c>
      <c r="K161" s="30">
        <v>111</v>
      </c>
      <c r="L161" s="30" t="s">
        <v>38</v>
      </c>
      <c r="M161" s="30" t="s">
        <v>51</v>
      </c>
      <c r="N161" s="39">
        <f>(Table1_1[[#This Row],[Likes]]+Table1_1[[#This Row],[Shares]]+Table1_1[[#This Row],[Comments]])/Table1_1[[#This Row],[Impressions]]</f>
        <v>8.4056399132321047E-2</v>
      </c>
      <c r="O161" t="str">
        <f>IF(Table1_1[[#This Row],[Date]] &lt; DATE(2025,1,1),"Before","During")</f>
        <v>Before</v>
      </c>
    </row>
    <row r="162" spans="1:15">
      <c r="A162" s="30" t="s">
        <v>312</v>
      </c>
      <c r="B162" s="30" t="s">
        <v>14</v>
      </c>
      <c r="C162" s="44">
        <v>45691</v>
      </c>
      <c r="D162" s="30" t="s">
        <v>24</v>
      </c>
      <c r="E162" s="30" t="s">
        <v>25</v>
      </c>
      <c r="F162" s="30">
        <v>1205</v>
      </c>
      <c r="G162" s="30">
        <v>486</v>
      </c>
      <c r="H162" s="30">
        <v>269</v>
      </c>
      <c r="I162" s="30">
        <v>23341</v>
      </c>
      <c r="J162" s="30">
        <v>42411</v>
      </c>
      <c r="K162" s="30">
        <v>184</v>
      </c>
      <c r="L162" s="30" t="s">
        <v>38</v>
      </c>
      <c r="M162" s="30" t="s">
        <v>51</v>
      </c>
      <c r="N162" s="39">
        <f>(Table1_1[[#This Row],[Likes]]+Table1_1[[#This Row],[Shares]]+Table1_1[[#This Row],[Comments]])/Table1_1[[#This Row],[Impressions]]</f>
        <v>8.3972409065592737E-2</v>
      </c>
      <c r="O162" t="str">
        <f>IF(Table1_1[[#This Row],[Date]] &lt; DATE(2025,1,1),"Before","During")</f>
        <v>During</v>
      </c>
    </row>
    <row r="163" spans="1:15">
      <c r="A163" s="30" t="s">
        <v>36</v>
      </c>
      <c r="B163" s="30" t="s">
        <v>23</v>
      </c>
      <c r="C163" s="44">
        <v>45823</v>
      </c>
      <c r="D163" s="30" t="s">
        <v>15</v>
      </c>
      <c r="E163" s="30" t="s">
        <v>37</v>
      </c>
      <c r="F163" s="30">
        <v>4432</v>
      </c>
      <c r="G163" s="30">
        <v>223</v>
      </c>
      <c r="H163" s="30">
        <v>299</v>
      </c>
      <c r="I163" s="30">
        <v>59016</v>
      </c>
      <c r="J163" s="30">
        <v>21742</v>
      </c>
      <c r="K163" s="30">
        <v>171</v>
      </c>
      <c r="L163" s="30" t="s">
        <v>38</v>
      </c>
      <c r="M163" s="30" t="s">
        <v>17</v>
      </c>
      <c r="N163" s="39">
        <f>(Table1_1[[#This Row],[Likes]]+Table1_1[[#This Row],[Shares]]+Table1_1[[#This Row],[Comments]])/Table1_1[[#This Row],[Impressions]]</f>
        <v>8.3943337400027115E-2</v>
      </c>
      <c r="O163" t="str">
        <f>IF(Table1_1[[#This Row],[Date]] &lt; DATE(2025,1,1),"Before","During")</f>
        <v>During</v>
      </c>
    </row>
    <row r="164" spans="1:15">
      <c r="A164" s="30" t="s">
        <v>295</v>
      </c>
      <c r="B164" s="30" t="s">
        <v>23</v>
      </c>
      <c r="C164" s="44">
        <v>45662</v>
      </c>
      <c r="D164" s="30" t="s">
        <v>24</v>
      </c>
      <c r="E164" s="30" t="s">
        <v>19</v>
      </c>
      <c r="F164" s="30">
        <v>3341</v>
      </c>
      <c r="G164" s="30">
        <v>154</v>
      </c>
      <c r="H164" s="30">
        <v>123</v>
      </c>
      <c r="I164" s="30">
        <v>43369</v>
      </c>
      <c r="J164" s="30">
        <v>49035</v>
      </c>
      <c r="K164" s="30">
        <v>128</v>
      </c>
      <c r="L164" s="30" t="s">
        <v>368</v>
      </c>
      <c r="M164" s="30" t="s">
        <v>17</v>
      </c>
      <c r="N164" s="39">
        <f>(Table1_1[[#This Row],[Likes]]+Table1_1[[#This Row],[Shares]]+Table1_1[[#This Row],[Comments]])/Table1_1[[#This Row],[Impressions]]</f>
        <v>8.3423643616408028E-2</v>
      </c>
      <c r="O164" t="str">
        <f>IF(Table1_1[[#This Row],[Date]] &lt; DATE(2025,1,1),"Before","During")</f>
        <v>During</v>
      </c>
    </row>
    <row r="165" spans="1:15">
      <c r="A165" s="30" t="s">
        <v>194</v>
      </c>
      <c r="B165" s="30" t="s">
        <v>14</v>
      </c>
      <c r="C165" s="44">
        <v>45394</v>
      </c>
      <c r="D165" s="30" t="s">
        <v>24</v>
      </c>
      <c r="E165" s="30" t="s">
        <v>34</v>
      </c>
      <c r="F165" s="30">
        <v>1558</v>
      </c>
      <c r="G165" s="30">
        <v>352</v>
      </c>
      <c r="H165" s="30">
        <v>202</v>
      </c>
      <c r="I165" s="30">
        <v>25405</v>
      </c>
      <c r="J165" s="30">
        <v>69941</v>
      </c>
      <c r="K165" s="30">
        <v>219</v>
      </c>
      <c r="L165" s="30" t="s">
        <v>38</v>
      </c>
      <c r="M165" s="30" t="s">
        <v>51</v>
      </c>
      <c r="N165" s="39">
        <f>(Table1_1[[#This Row],[Likes]]+Table1_1[[#This Row],[Shares]]+Table1_1[[#This Row],[Comments]])/Table1_1[[#This Row],[Impressions]]</f>
        <v>8.3133241487896081E-2</v>
      </c>
      <c r="O165" t="str">
        <f>IF(Table1_1[[#This Row],[Date]] &lt; DATE(2025,1,1),"Before","During")</f>
        <v>Before</v>
      </c>
    </row>
    <row r="166" spans="1:15">
      <c r="A166" s="30" t="s">
        <v>136</v>
      </c>
      <c r="B166" s="30" t="s">
        <v>23</v>
      </c>
      <c r="C166" s="44">
        <v>45577</v>
      </c>
      <c r="D166" s="30" t="s">
        <v>15</v>
      </c>
      <c r="E166" s="30" t="s">
        <v>34</v>
      </c>
      <c r="F166" s="30">
        <v>3169</v>
      </c>
      <c r="G166" s="30">
        <v>386</v>
      </c>
      <c r="H166" s="30">
        <v>175</v>
      </c>
      <c r="I166" s="30">
        <v>45012</v>
      </c>
      <c r="J166" s="30">
        <v>38508</v>
      </c>
      <c r="K166" s="30">
        <v>218</v>
      </c>
      <c r="L166" s="30" t="s">
        <v>38</v>
      </c>
      <c r="M166" s="30" t="s">
        <v>17</v>
      </c>
      <c r="N166" s="39">
        <f>(Table1_1[[#This Row],[Likes]]+Table1_1[[#This Row],[Shares]]+Table1_1[[#This Row],[Comments]])/Table1_1[[#This Row],[Impressions]]</f>
        <v>8.2866791077934779E-2</v>
      </c>
      <c r="O166" t="str">
        <f>IF(Table1_1[[#This Row],[Date]] &lt; DATE(2025,1,1),"Before","During")</f>
        <v>Before</v>
      </c>
    </row>
    <row r="167" spans="1:15">
      <c r="A167" s="30" t="s">
        <v>250</v>
      </c>
      <c r="B167" s="30" t="s">
        <v>29</v>
      </c>
      <c r="C167" s="44">
        <v>45672</v>
      </c>
      <c r="D167" s="30" t="s">
        <v>15</v>
      </c>
      <c r="E167" s="30" t="s">
        <v>47</v>
      </c>
      <c r="F167" s="30">
        <v>2599</v>
      </c>
      <c r="G167" s="30">
        <v>324</v>
      </c>
      <c r="H167" s="30">
        <v>182</v>
      </c>
      <c r="I167" s="30">
        <v>37525</v>
      </c>
      <c r="J167" s="30">
        <v>37216</v>
      </c>
      <c r="K167" s="30">
        <v>186</v>
      </c>
      <c r="L167" s="30" t="s">
        <v>20</v>
      </c>
      <c r="M167" s="30" t="s">
        <v>21</v>
      </c>
      <c r="N167" s="39">
        <f>(Table1_1[[#This Row],[Likes]]+Table1_1[[#This Row],[Shares]]+Table1_1[[#This Row],[Comments]])/Table1_1[[#This Row],[Impressions]]</f>
        <v>8.2744836775483013E-2</v>
      </c>
      <c r="O167" t="str">
        <f>IF(Table1_1[[#This Row],[Date]] &lt; DATE(2025,1,1),"Before","During")</f>
        <v>During</v>
      </c>
    </row>
    <row r="168" spans="1:15">
      <c r="A168" s="30" t="s">
        <v>238</v>
      </c>
      <c r="B168" s="30" t="s">
        <v>14</v>
      </c>
      <c r="C168" s="44">
        <v>45571</v>
      </c>
      <c r="D168" s="30" t="s">
        <v>15</v>
      </c>
      <c r="E168" s="30" t="s">
        <v>37</v>
      </c>
      <c r="F168" s="30">
        <v>2080</v>
      </c>
      <c r="G168" s="30">
        <v>389</v>
      </c>
      <c r="H168" s="30">
        <v>92</v>
      </c>
      <c r="I168" s="30">
        <v>30971</v>
      </c>
      <c r="J168" s="30">
        <v>25347</v>
      </c>
      <c r="K168" s="30">
        <v>111</v>
      </c>
      <c r="L168" s="30" t="s">
        <v>20</v>
      </c>
      <c r="M168" s="30" t="s">
        <v>21</v>
      </c>
      <c r="N168" s="39">
        <f>(Table1_1[[#This Row],[Likes]]+Table1_1[[#This Row],[Shares]]+Table1_1[[#This Row],[Comments]])/Table1_1[[#This Row],[Impressions]]</f>
        <v>8.2690258629040073E-2</v>
      </c>
      <c r="O168" t="str">
        <f>IF(Table1_1[[#This Row],[Date]] &lt; DATE(2025,1,1),"Before","During")</f>
        <v>Before</v>
      </c>
    </row>
    <row r="169" spans="1:15">
      <c r="A169" s="30" t="s">
        <v>188</v>
      </c>
      <c r="B169" s="30" t="s">
        <v>23</v>
      </c>
      <c r="C169" s="44">
        <v>45819</v>
      </c>
      <c r="D169" s="30" t="s">
        <v>24</v>
      </c>
      <c r="E169" s="30" t="s">
        <v>19</v>
      </c>
      <c r="F169" s="30">
        <v>3805</v>
      </c>
      <c r="G169" s="30">
        <v>453</v>
      </c>
      <c r="H169" s="30">
        <v>63</v>
      </c>
      <c r="I169" s="30">
        <v>52395</v>
      </c>
      <c r="J169" s="30">
        <v>72934</v>
      </c>
      <c r="K169" s="30">
        <v>87</v>
      </c>
      <c r="L169" s="30" t="s">
        <v>20</v>
      </c>
      <c r="M169" s="30" t="s">
        <v>17</v>
      </c>
      <c r="N169" s="39">
        <f>(Table1_1[[#This Row],[Likes]]+Table1_1[[#This Row],[Shares]]+Table1_1[[#This Row],[Comments]])/Table1_1[[#This Row],[Impressions]]</f>
        <v>8.2469701307376658E-2</v>
      </c>
      <c r="O169" t="str">
        <f>IF(Table1_1[[#This Row],[Date]] &lt; DATE(2025,1,1),"Before","During")</f>
        <v>During</v>
      </c>
    </row>
    <row r="170" spans="1:15">
      <c r="A170" s="30" t="s">
        <v>63</v>
      </c>
      <c r="B170" s="30" t="s">
        <v>29</v>
      </c>
      <c r="C170" s="44">
        <v>45356</v>
      </c>
      <c r="D170" s="30" t="s">
        <v>53</v>
      </c>
      <c r="E170" s="30" t="s">
        <v>19</v>
      </c>
      <c r="F170" s="30">
        <v>3558</v>
      </c>
      <c r="G170" s="30">
        <v>314</v>
      </c>
      <c r="H170" s="30">
        <v>199</v>
      </c>
      <c r="I170" s="30">
        <v>49612</v>
      </c>
      <c r="J170" s="30">
        <v>53929</v>
      </c>
      <c r="K170" s="30">
        <v>206</v>
      </c>
      <c r="L170" s="30" t="s">
        <v>20</v>
      </c>
      <c r="M170" s="30" t="s">
        <v>54</v>
      </c>
      <c r="N170" s="39">
        <f>(Table1_1[[#This Row],[Likes]]+Table1_1[[#This Row],[Shares]]+Table1_1[[#This Row],[Comments]])/Table1_1[[#This Row],[Impressions]]</f>
        <v>8.205676046117874E-2</v>
      </c>
      <c r="O170" t="str">
        <f>IF(Table1_1[[#This Row],[Date]] &lt; DATE(2025,1,1),"Before","During")</f>
        <v>Before</v>
      </c>
    </row>
    <row r="171" spans="1:15">
      <c r="A171" s="30" t="s">
        <v>271</v>
      </c>
      <c r="B171" s="30" t="s">
        <v>14</v>
      </c>
      <c r="C171" s="44">
        <v>45646</v>
      </c>
      <c r="D171" s="30" t="s">
        <v>15</v>
      </c>
      <c r="E171" s="30" t="s">
        <v>16</v>
      </c>
      <c r="F171" s="30">
        <v>2519</v>
      </c>
      <c r="G171" s="30">
        <v>202</v>
      </c>
      <c r="H171" s="30">
        <v>239</v>
      </c>
      <c r="I171" s="30">
        <v>36245</v>
      </c>
      <c r="J171" s="30">
        <v>48606</v>
      </c>
      <c r="K171" s="30">
        <v>145</v>
      </c>
      <c r="L171" s="30" t="s">
        <v>20</v>
      </c>
      <c r="M171" s="30" t="s">
        <v>21</v>
      </c>
      <c r="N171" s="39">
        <f>(Table1_1[[#This Row],[Likes]]+Table1_1[[#This Row],[Shares]]+Table1_1[[#This Row],[Comments]])/Table1_1[[#This Row],[Impressions]]</f>
        <v>8.1666436749896543E-2</v>
      </c>
      <c r="O171" t="str">
        <f>IF(Table1_1[[#This Row],[Date]] &lt; DATE(2025,1,1),"Before","During")</f>
        <v>Before</v>
      </c>
    </row>
    <row r="172" spans="1:15">
      <c r="A172" s="30" t="s">
        <v>107</v>
      </c>
      <c r="B172" s="30" t="s">
        <v>14</v>
      </c>
      <c r="C172" s="44">
        <v>45576</v>
      </c>
      <c r="D172" s="30" t="s">
        <v>15</v>
      </c>
      <c r="E172" s="30" t="s">
        <v>45</v>
      </c>
      <c r="F172" s="30">
        <v>1360</v>
      </c>
      <c r="G172" s="30">
        <v>249</v>
      </c>
      <c r="H172" s="30">
        <v>52</v>
      </c>
      <c r="I172" s="30">
        <v>20368</v>
      </c>
      <c r="J172" s="30">
        <v>42152</v>
      </c>
      <c r="K172" s="30">
        <v>193</v>
      </c>
      <c r="L172" s="30" t="s">
        <v>20</v>
      </c>
      <c r="M172" s="30" t="s">
        <v>21</v>
      </c>
      <c r="N172" s="39">
        <f>(Table1_1[[#This Row],[Likes]]+Table1_1[[#This Row],[Shares]]+Table1_1[[#This Row],[Comments]])/Table1_1[[#This Row],[Impressions]]</f>
        <v>8.1549489395129612E-2</v>
      </c>
      <c r="O172" t="str">
        <f>IF(Table1_1[[#This Row],[Date]] &lt; DATE(2025,1,1),"Before","During")</f>
        <v>Before</v>
      </c>
    </row>
    <row r="173" spans="1:15">
      <c r="A173" s="30" t="s">
        <v>181</v>
      </c>
      <c r="B173" s="30" t="s">
        <v>14</v>
      </c>
      <c r="C173" s="44">
        <v>45799</v>
      </c>
      <c r="D173" s="30" t="s">
        <v>15</v>
      </c>
      <c r="E173" s="30" t="s">
        <v>16</v>
      </c>
      <c r="F173" s="30">
        <v>2633</v>
      </c>
      <c r="G173" s="30">
        <v>318</v>
      </c>
      <c r="H173" s="30">
        <v>380</v>
      </c>
      <c r="I173" s="30">
        <v>40869</v>
      </c>
      <c r="J173" s="30">
        <v>64474</v>
      </c>
      <c r="K173" s="30">
        <v>245</v>
      </c>
      <c r="L173" s="30" t="s">
        <v>20</v>
      </c>
      <c r="M173" s="30" t="s">
        <v>21</v>
      </c>
      <c r="N173" s="39">
        <f>(Table1_1[[#This Row],[Likes]]+Table1_1[[#This Row],[Shares]]+Table1_1[[#This Row],[Comments]])/Table1_1[[#This Row],[Impressions]]</f>
        <v>8.1504318676747664E-2</v>
      </c>
      <c r="O173" t="str">
        <f>IF(Table1_1[[#This Row],[Date]] &lt; DATE(2025,1,1),"Before","During")</f>
        <v>During</v>
      </c>
    </row>
    <row r="174" spans="1:15">
      <c r="A174" s="30" t="s">
        <v>184</v>
      </c>
      <c r="B174" s="30" t="s">
        <v>23</v>
      </c>
      <c r="C174" s="44">
        <v>45760</v>
      </c>
      <c r="D174" s="30" t="s">
        <v>15</v>
      </c>
      <c r="E174" s="30" t="s">
        <v>45</v>
      </c>
      <c r="F174" s="30">
        <v>3890</v>
      </c>
      <c r="G174" s="30">
        <v>408</v>
      </c>
      <c r="H174" s="30">
        <v>338</v>
      </c>
      <c r="I174" s="30">
        <v>56994</v>
      </c>
      <c r="J174" s="30">
        <v>32621</v>
      </c>
      <c r="K174" s="30">
        <v>286</v>
      </c>
      <c r="L174" s="30" t="s">
        <v>41</v>
      </c>
      <c r="M174" s="30" t="s">
        <v>21</v>
      </c>
      <c r="N174" s="39">
        <f>(Table1_1[[#This Row],[Likes]]+Table1_1[[#This Row],[Shares]]+Table1_1[[#This Row],[Comments]])/Table1_1[[#This Row],[Impressions]]</f>
        <v>8.1341895638137346E-2</v>
      </c>
      <c r="O174" t="str">
        <f>IF(Table1_1[[#This Row],[Date]] &lt; DATE(2025,1,1),"Before","During")</f>
        <v>During</v>
      </c>
    </row>
    <row r="175" spans="1:15">
      <c r="A175" s="30" t="s">
        <v>60</v>
      </c>
      <c r="B175" s="30" t="s">
        <v>29</v>
      </c>
      <c r="C175" s="44">
        <v>45575</v>
      </c>
      <c r="D175" s="30" t="s">
        <v>53</v>
      </c>
      <c r="E175" s="30" t="s">
        <v>45</v>
      </c>
      <c r="F175" s="30">
        <v>4013</v>
      </c>
      <c r="G175" s="30">
        <v>320</v>
      </c>
      <c r="H175" s="30">
        <v>92</v>
      </c>
      <c r="I175" s="30">
        <v>54605</v>
      </c>
      <c r="J175" s="30">
        <v>60169</v>
      </c>
      <c r="K175" s="30">
        <v>232</v>
      </c>
      <c r="L175" s="30" t="s">
        <v>20</v>
      </c>
      <c r="M175" s="30" t="s">
        <v>54</v>
      </c>
      <c r="N175" s="39">
        <f>(Table1_1[[#This Row],[Likes]]+Table1_1[[#This Row],[Shares]]+Table1_1[[#This Row],[Comments]])/Table1_1[[#This Row],[Impressions]]</f>
        <v>8.1036535115831879E-2</v>
      </c>
      <c r="O175" t="str">
        <f>IF(Table1_1[[#This Row],[Date]] &lt; DATE(2025,1,1),"Before","During")</f>
        <v>Before</v>
      </c>
    </row>
    <row r="176" spans="1:15">
      <c r="A176" s="30" t="s">
        <v>268</v>
      </c>
      <c r="B176" s="30" t="s">
        <v>23</v>
      </c>
      <c r="C176" s="44">
        <v>45585</v>
      </c>
      <c r="D176" s="30" t="s">
        <v>15</v>
      </c>
      <c r="E176" s="30" t="s">
        <v>45</v>
      </c>
      <c r="F176" s="30">
        <v>2752</v>
      </c>
      <c r="G176" s="30">
        <v>309</v>
      </c>
      <c r="H176" s="30">
        <v>91</v>
      </c>
      <c r="I176" s="30">
        <v>39038</v>
      </c>
      <c r="J176" s="30">
        <v>28095</v>
      </c>
      <c r="K176" s="30">
        <v>277</v>
      </c>
      <c r="L176" s="30" t="s">
        <v>38</v>
      </c>
      <c r="M176" s="30" t="s">
        <v>17</v>
      </c>
      <c r="N176" s="39">
        <f>(Table1_1[[#This Row],[Likes]]+Table1_1[[#This Row],[Shares]]+Table1_1[[#This Row],[Comments]])/Table1_1[[#This Row],[Impressions]]</f>
        <v>8.0741841282852611E-2</v>
      </c>
      <c r="O176" t="str">
        <f>IF(Table1_1[[#This Row],[Date]] &lt; DATE(2025,1,1),"Before","During")</f>
        <v>Before</v>
      </c>
    </row>
    <row r="177" spans="1:15">
      <c r="A177" s="30" t="s">
        <v>66</v>
      </c>
      <c r="B177" s="30" t="s">
        <v>14</v>
      </c>
      <c r="C177" s="44">
        <v>45658</v>
      </c>
      <c r="D177" s="30" t="s">
        <v>15</v>
      </c>
      <c r="E177" s="30" t="s">
        <v>25</v>
      </c>
      <c r="F177" s="30">
        <v>4036</v>
      </c>
      <c r="G177" s="30">
        <v>112</v>
      </c>
      <c r="H177" s="30">
        <v>382</v>
      </c>
      <c r="I177" s="30">
        <v>56284</v>
      </c>
      <c r="J177" s="30">
        <v>29440</v>
      </c>
      <c r="K177" s="30">
        <v>279</v>
      </c>
      <c r="L177" s="30" t="s">
        <v>41</v>
      </c>
      <c r="M177" s="30" t="s">
        <v>17</v>
      </c>
      <c r="N177" s="39">
        <f>(Table1_1[[#This Row],[Likes]]+Table1_1[[#This Row],[Shares]]+Table1_1[[#This Row],[Comments]])/Table1_1[[#This Row],[Impressions]]</f>
        <v>8.0484684812735408E-2</v>
      </c>
      <c r="O177" t="str">
        <f>IF(Table1_1[[#This Row],[Date]] &lt; DATE(2025,1,1),"Before","During")</f>
        <v>During</v>
      </c>
    </row>
    <row r="178" spans="1:15">
      <c r="A178" s="30" t="s">
        <v>255</v>
      </c>
      <c r="B178" s="30" t="s">
        <v>29</v>
      </c>
      <c r="C178" s="44">
        <v>45636</v>
      </c>
      <c r="D178" s="30" t="s">
        <v>15</v>
      </c>
      <c r="E178" s="30" t="s">
        <v>32</v>
      </c>
      <c r="F178" s="30">
        <v>2569</v>
      </c>
      <c r="G178" s="30">
        <v>140</v>
      </c>
      <c r="H178" s="30">
        <v>375</v>
      </c>
      <c r="I178" s="30">
        <v>38372</v>
      </c>
      <c r="J178" s="30">
        <v>22102</v>
      </c>
      <c r="K178" s="30">
        <v>255</v>
      </c>
      <c r="L178" s="30" t="s">
        <v>20</v>
      </c>
      <c r="M178" s="30" t="s">
        <v>21</v>
      </c>
      <c r="N178" s="39">
        <f>(Table1_1[[#This Row],[Likes]]+Table1_1[[#This Row],[Shares]]+Table1_1[[#This Row],[Comments]])/Table1_1[[#This Row],[Impressions]]</f>
        <v>8.0371103929948923E-2</v>
      </c>
      <c r="O178" t="str">
        <f>IF(Table1_1[[#This Row],[Date]] &lt; DATE(2025,1,1),"Before","During")</f>
        <v>Before</v>
      </c>
    </row>
    <row r="179" spans="1:15">
      <c r="A179" s="30" t="s">
        <v>58</v>
      </c>
      <c r="B179" s="30" t="s">
        <v>29</v>
      </c>
      <c r="C179" s="44">
        <v>45452</v>
      </c>
      <c r="D179" s="30" t="s">
        <v>53</v>
      </c>
      <c r="E179" s="30" t="s">
        <v>45</v>
      </c>
      <c r="F179" s="30">
        <v>2786</v>
      </c>
      <c r="G179" s="30">
        <v>368</v>
      </c>
      <c r="H179" s="30">
        <v>208</v>
      </c>
      <c r="I179" s="30">
        <v>42000</v>
      </c>
      <c r="J179" s="30">
        <v>39967</v>
      </c>
      <c r="K179" s="30">
        <v>103</v>
      </c>
      <c r="L179" s="30" t="s">
        <v>20</v>
      </c>
      <c r="M179" s="30" t="s">
        <v>54</v>
      </c>
      <c r="N179" s="39">
        <f>(Table1_1[[#This Row],[Likes]]+Table1_1[[#This Row],[Shares]]+Table1_1[[#This Row],[Comments]])/Table1_1[[#This Row],[Impressions]]</f>
        <v>8.0047619047619048E-2</v>
      </c>
      <c r="O179" t="str">
        <f>IF(Table1_1[[#This Row],[Date]] &lt; DATE(2025,1,1),"Before","During")</f>
        <v>Before</v>
      </c>
    </row>
    <row r="180" spans="1:15">
      <c r="A180" s="30" t="s">
        <v>164</v>
      </c>
      <c r="B180" s="30" t="s">
        <v>23</v>
      </c>
      <c r="C180" s="44">
        <v>45839</v>
      </c>
      <c r="D180" s="30" t="s">
        <v>24</v>
      </c>
      <c r="E180" s="30" t="s">
        <v>19</v>
      </c>
      <c r="F180" s="30">
        <v>3219</v>
      </c>
      <c r="G180" s="30">
        <v>424</v>
      </c>
      <c r="H180" s="30">
        <v>267</v>
      </c>
      <c r="I180" s="30">
        <v>48879</v>
      </c>
      <c r="J180" s="30">
        <v>37691</v>
      </c>
      <c r="K180" s="30">
        <v>224</v>
      </c>
      <c r="L180" s="30" t="s">
        <v>20</v>
      </c>
      <c r="M180" s="30" t="s">
        <v>17</v>
      </c>
      <c r="N180" s="39">
        <f>(Table1_1[[#This Row],[Likes]]+Table1_1[[#This Row],[Shares]]+Table1_1[[#This Row],[Comments]])/Table1_1[[#This Row],[Impressions]]</f>
        <v>7.9993453221219743E-2</v>
      </c>
      <c r="O180" t="str">
        <f>IF(Table1_1[[#This Row],[Date]] &lt; DATE(2025,1,1),"Before","During")</f>
        <v>During</v>
      </c>
    </row>
    <row r="181" spans="1:15">
      <c r="A181" s="30" t="s">
        <v>241</v>
      </c>
      <c r="B181" s="30" t="s">
        <v>23</v>
      </c>
      <c r="C181" s="44">
        <v>45525</v>
      </c>
      <c r="D181" s="30" t="s">
        <v>24</v>
      </c>
      <c r="E181" s="30" t="s">
        <v>19</v>
      </c>
      <c r="F181" s="30">
        <v>3989</v>
      </c>
      <c r="G181" s="30">
        <v>476</v>
      </c>
      <c r="H181" s="30">
        <v>128</v>
      </c>
      <c r="I181" s="30">
        <v>57569</v>
      </c>
      <c r="J181" s="30">
        <v>40193</v>
      </c>
      <c r="K181" s="30">
        <v>222</v>
      </c>
      <c r="L181" s="30" t="s">
        <v>20</v>
      </c>
      <c r="M181" s="30" t="s">
        <v>17</v>
      </c>
      <c r="N181" s="39">
        <f>(Table1_1[[#This Row],[Likes]]+Table1_1[[#This Row],[Shares]]+Table1_1[[#This Row],[Comments]])/Table1_1[[#This Row],[Impressions]]</f>
        <v>7.9782521843353188E-2</v>
      </c>
      <c r="O181" t="str">
        <f>IF(Table1_1[[#This Row],[Date]] &lt; DATE(2025,1,1),"Before","During")</f>
        <v>Before</v>
      </c>
    </row>
    <row r="182" spans="1:15">
      <c r="A182" s="30" t="s">
        <v>127</v>
      </c>
      <c r="B182" s="30" t="s">
        <v>29</v>
      </c>
      <c r="C182" s="44">
        <v>45376</v>
      </c>
      <c r="D182" s="30" t="s">
        <v>53</v>
      </c>
      <c r="E182" s="30" t="s">
        <v>19</v>
      </c>
      <c r="F182" s="30">
        <v>1948</v>
      </c>
      <c r="G182" s="30">
        <v>155</v>
      </c>
      <c r="H182" s="30">
        <v>315</v>
      </c>
      <c r="I182" s="30">
        <v>30321</v>
      </c>
      <c r="J182" s="30">
        <v>57121</v>
      </c>
      <c r="K182" s="30">
        <v>82</v>
      </c>
      <c r="L182" s="30" t="s">
        <v>20</v>
      </c>
      <c r="M182" s="30" t="s">
        <v>54</v>
      </c>
      <c r="N182" s="39">
        <f>(Table1_1[[#This Row],[Likes]]+Table1_1[[#This Row],[Shares]]+Table1_1[[#This Row],[Comments]])/Table1_1[[#This Row],[Impressions]]</f>
        <v>7.974671020085089E-2</v>
      </c>
      <c r="O182" t="str">
        <f>IF(Table1_1[[#This Row],[Date]] &lt; DATE(2025,1,1),"Before","During")</f>
        <v>Before</v>
      </c>
    </row>
    <row r="183" spans="1:15">
      <c r="A183" s="30" t="s">
        <v>126</v>
      </c>
      <c r="B183" s="30" t="s">
        <v>23</v>
      </c>
      <c r="C183" s="44">
        <v>45774</v>
      </c>
      <c r="D183" s="30" t="s">
        <v>15</v>
      </c>
      <c r="E183" s="30" t="s">
        <v>19</v>
      </c>
      <c r="F183" s="30">
        <v>1165</v>
      </c>
      <c r="G183" s="30">
        <v>294</v>
      </c>
      <c r="H183" s="30">
        <v>163</v>
      </c>
      <c r="I183" s="30">
        <v>20659</v>
      </c>
      <c r="J183" s="30">
        <v>45926</v>
      </c>
      <c r="K183" s="30">
        <v>111</v>
      </c>
      <c r="L183" s="30" t="s">
        <v>41</v>
      </c>
      <c r="M183" s="30" t="s">
        <v>21</v>
      </c>
      <c r="N183" s="39">
        <f>(Table1_1[[#This Row],[Likes]]+Table1_1[[#This Row],[Shares]]+Table1_1[[#This Row],[Comments]])/Table1_1[[#This Row],[Impressions]]</f>
        <v>7.8512996756861422E-2</v>
      </c>
      <c r="O183" t="str">
        <f>IF(Table1_1[[#This Row],[Date]] &lt; DATE(2025,1,1),"Before","During")</f>
        <v>During</v>
      </c>
    </row>
    <row r="184" spans="1:15">
      <c r="A184" s="30" t="s">
        <v>215</v>
      </c>
      <c r="B184" s="30" t="s">
        <v>23</v>
      </c>
      <c r="C184" s="44">
        <v>45777</v>
      </c>
      <c r="D184" s="30" t="s">
        <v>24</v>
      </c>
      <c r="E184" s="30" t="s">
        <v>27</v>
      </c>
      <c r="F184" s="30">
        <v>3929</v>
      </c>
      <c r="G184" s="30">
        <v>275</v>
      </c>
      <c r="H184" s="30">
        <v>330</v>
      </c>
      <c r="I184" s="30">
        <v>58329</v>
      </c>
      <c r="J184" s="30">
        <v>33196</v>
      </c>
      <c r="K184" s="30">
        <v>85</v>
      </c>
      <c r="L184" s="30" t="s">
        <v>368</v>
      </c>
      <c r="M184" s="30" t="s">
        <v>17</v>
      </c>
      <c r="N184" s="39">
        <f>(Table1_1[[#This Row],[Likes]]+Table1_1[[#This Row],[Shares]]+Table1_1[[#This Row],[Comments]])/Table1_1[[#This Row],[Impressions]]</f>
        <v>7.7731488624869283E-2</v>
      </c>
      <c r="O184" t="str">
        <f>IF(Table1_1[[#This Row],[Date]] &lt; DATE(2025,1,1),"Before","During")</f>
        <v>During</v>
      </c>
    </row>
    <row r="185" spans="1:15">
      <c r="A185" s="30" t="s">
        <v>240</v>
      </c>
      <c r="B185" s="30" t="s">
        <v>23</v>
      </c>
      <c r="C185" s="44">
        <v>45763</v>
      </c>
      <c r="D185" s="30" t="s">
        <v>15</v>
      </c>
      <c r="E185" s="30" t="s">
        <v>27</v>
      </c>
      <c r="F185" s="30">
        <v>3792</v>
      </c>
      <c r="G185" s="30">
        <v>315</v>
      </c>
      <c r="H185" s="30">
        <v>120</v>
      </c>
      <c r="I185" s="30">
        <v>54592</v>
      </c>
      <c r="J185" s="30">
        <v>67886</v>
      </c>
      <c r="K185" s="30">
        <v>117</v>
      </c>
      <c r="L185" s="30" t="s">
        <v>41</v>
      </c>
      <c r="M185" s="30" t="s">
        <v>21</v>
      </c>
      <c r="N185" s="39">
        <f>(Table1_1[[#This Row],[Likes]]+Table1_1[[#This Row],[Shares]]+Table1_1[[#This Row],[Comments]])/Table1_1[[#This Row],[Impressions]]</f>
        <v>7.7428927315357568E-2</v>
      </c>
      <c r="O185" t="str">
        <f>IF(Table1_1[[#This Row],[Date]] &lt; DATE(2025,1,1),"Before","During")</f>
        <v>During</v>
      </c>
    </row>
    <row r="186" spans="1:15">
      <c r="A186" s="30" t="s">
        <v>244</v>
      </c>
      <c r="B186" s="30" t="s">
        <v>23</v>
      </c>
      <c r="C186" s="44">
        <v>45492</v>
      </c>
      <c r="D186" s="30" t="s">
        <v>24</v>
      </c>
      <c r="E186" s="30" t="s">
        <v>32</v>
      </c>
      <c r="F186" s="30">
        <v>3071</v>
      </c>
      <c r="G186" s="30">
        <v>126</v>
      </c>
      <c r="H186" s="30">
        <v>200</v>
      </c>
      <c r="I186" s="30">
        <v>44013</v>
      </c>
      <c r="J186" s="30">
        <v>44679</v>
      </c>
      <c r="K186" s="30">
        <v>118</v>
      </c>
      <c r="L186" s="30" t="s">
        <v>20</v>
      </c>
      <c r="M186" s="30" t="s">
        <v>17</v>
      </c>
      <c r="N186" s="39">
        <f>(Table1_1[[#This Row],[Likes]]+Table1_1[[#This Row],[Shares]]+Table1_1[[#This Row],[Comments]])/Table1_1[[#This Row],[Impressions]]</f>
        <v>7.7181741758116915E-2</v>
      </c>
      <c r="O186" t="str">
        <f>IF(Table1_1[[#This Row],[Date]] &lt; DATE(2025,1,1),"Before","During")</f>
        <v>Before</v>
      </c>
    </row>
    <row r="187" spans="1:15">
      <c r="A187" s="30" t="s">
        <v>111</v>
      </c>
      <c r="B187" s="30" t="s">
        <v>14</v>
      </c>
      <c r="C187" s="44">
        <v>45487</v>
      </c>
      <c r="D187" s="30" t="s">
        <v>15</v>
      </c>
      <c r="E187" s="30" t="s">
        <v>27</v>
      </c>
      <c r="F187" s="30">
        <v>2464</v>
      </c>
      <c r="G187" s="30">
        <v>401</v>
      </c>
      <c r="H187" s="30">
        <v>78</v>
      </c>
      <c r="I187" s="30">
        <v>38665</v>
      </c>
      <c r="J187" s="30">
        <v>73593</v>
      </c>
      <c r="K187" s="30">
        <v>207</v>
      </c>
      <c r="L187" s="30" t="s">
        <v>20</v>
      </c>
      <c r="M187" s="30" t="s">
        <v>21</v>
      </c>
      <c r="N187" s="39">
        <f>(Table1_1[[#This Row],[Likes]]+Table1_1[[#This Row],[Shares]]+Table1_1[[#This Row],[Comments]])/Table1_1[[#This Row],[Impressions]]</f>
        <v>7.611534979956032E-2</v>
      </c>
      <c r="O187" t="str">
        <f>IF(Table1_1[[#This Row],[Date]] &lt; DATE(2025,1,1),"Before","During")</f>
        <v>Before</v>
      </c>
    </row>
    <row r="188" spans="1:15">
      <c r="A188" s="30" t="s">
        <v>67</v>
      </c>
      <c r="B188" s="30" t="s">
        <v>23</v>
      </c>
      <c r="C188" s="44">
        <v>45419</v>
      </c>
      <c r="D188" s="30" t="s">
        <v>24</v>
      </c>
      <c r="E188" s="30" t="s">
        <v>19</v>
      </c>
      <c r="F188" s="30">
        <v>2776</v>
      </c>
      <c r="G188" s="30">
        <v>307</v>
      </c>
      <c r="H188" s="30">
        <v>178</v>
      </c>
      <c r="I188" s="30">
        <v>43365</v>
      </c>
      <c r="J188" s="30">
        <v>48408</v>
      </c>
      <c r="K188" s="30">
        <v>138</v>
      </c>
      <c r="L188" s="30" t="s">
        <v>41</v>
      </c>
      <c r="M188" s="30" t="s">
        <v>17</v>
      </c>
      <c r="N188" s="39">
        <f>(Table1_1[[#This Row],[Likes]]+Table1_1[[#This Row],[Shares]]+Table1_1[[#This Row],[Comments]])/Table1_1[[#This Row],[Impressions]]</f>
        <v>7.519889311656866E-2</v>
      </c>
      <c r="O188" t="str">
        <f>IF(Table1_1[[#This Row],[Date]] &lt; DATE(2025,1,1),"Before","During")</f>
        <v>Before</v>
      </c>
    </row>
    <row r="189" spans="1:15">
      <c r="A189" s="30" t="s">
        <v>294</v>
      </c>
      <c r="B189" s="30" t="s">
        <v>23</v>
      </c>
      <c r="C189" s="44">
        <v>45676</v>
      </c>
      <c r="D189" s="30" t="s">
        <v>24</v>
      </c>
      <c r="E189" s="30" t="s">
        <v>30</v>
      </c>
      <c r="F189" s="30">
        <v>1651</v>
      </c>
      <c r="G189" s="30">
        <v>480</v>
      </c>
      <c r="H189" s="30">
        <v>282</v>
      </c>
      <c r="I189" s="30">
        <v>32140</v>
      </c>
      <c r="J189" s="30">
        <v>70560</v>
      </c>
      <c r="K189" s="30">
        <v>138</v>
      </c>
      <c r="L189" s="30" t="s">
        <v>41</v>
      </c>
      <c r="M189" s="30" t="s">
        <v>17</v>
      </c>
      <c r="N189" s="39">
        <f>(Table1_1[[#This Row],[Likes]]+Table1_1[[#This Row],[Shares]]+Table1_1[[#This Row],[Comments]])/Table1_1[[#This Row],[Impressions]]</f>
        <v>7.5077784691972627E-2</v>
      </c>
      <c r="O189" t="str">
        <f>IF(Table1_1[[#This Row],[Date]] &lt; DATE(2025,1,1),"Before","During")</f>
        <v>During</v>
      </c>
    </row>
    <row r="190" spans="1:15">
      <c r="A190" s="30" t="s">
        <v>169</v>
      </c>
      <c r="B190" s="30" t="s">
        <v>23</v>
      </c>
      <c r="C190" s="44">
        <v>45792</v>
      </c>
      <c r="D190" s="30" t="s">
        <v>15</v>
      </c>
      <c r="E190" s="30" t="s">
        <v>25</v>
      </c>
      <c r="F190" s="30">
        <v>1583</v>
      </c>
      <c r="G190" s="30">
        <v>433</v>
      </c>
      <c r="H190" s="30">
        <v>249</v>
      </c>
      <c r="I190" s="30">
        <v>30256</v>
      </c>
      <c r="J190" s="30">
        <v>47066</v>
      </c>
      <c r="K190" s="30">
        <v>196</v>
      </c>
      <c r="L190" s="30" t="s">
        <v>38</v>
      </c>
      <c r="M190" s="30" t="s">
        <v>17</v>
      </c>
      <c r="N190" s="39">
        <f>(Table1_1[[#This Row],[Likes]]+Table1_1[[#This Row],[Shares]]+Table1_1[[#This Row],[Comments]])/Table1_1[[#This Row],[Impressions]]</f>
        <v>7.4861184558434685E-2</v>
      </c>
      <c r="O190" t="str">
        <f>IF(Table1_1[[#This Row],[Date]] &lt; DATE(2025,1,1),"Before","During")</f>
        <v>During</v>
      </c>
    </row>
    <row r="191" spans="1:15">
      <c r="A191" s="30" t="s">
        <v>31</v>
      </c>
      <c r="B191" s="30" t="s">
        <v>29</v>
      </c>
      <c r="C191" s="44">
        <v>45456</v>
      </c>
      <c r="D191" s="30" t="s">
        <v>15</v>
      </c>
      <c r="E191" s="30" t="s">
        <v>32</v>
      </c>
      <c r="F191" s="30">
        <v>3882</v>
      </c>
      <c r="G191" s="30">
        <v>239</v>
      </c>
      <c r="H191" s="30">
        <v>275</v>
      </c>
      <c r="I191" s="30">
        <v>58748</v>
      </c>
      <c r="J191" s="30">
        <v>44646</v>
      </c>
      <c r="K191" s="30">
        <v>149</v>
      </c>
      <c r="L191" s="30" t="s">
        <v>20</v>
      </c>
      <c r="M191" s="30" t="s">
        <v>21</v>
      </c>
      <c r="N191" s="39">
        <f>(Table1_1[[#This Row],[Likes]]+Table1_1[[#This Row],[Shares]]+Table1_1[[#This Row],[Comments]])/Table1_1[[#This Row],[Impressions]]</f>
        <v>7.4828079253761837E-2</v>
      </c>
      <c r="O191" t="str">
        <f>IF(Table1_1[[#This Row],[Date]] &lt; DATE(2025,1,1),"Before","During")</f>
        <v>Before</v>
      </c>
    </row>
    <row r="192" spans="1:15">
      <c r="A192" s="30" t="s">
        <v>43</v>
      </c>
      <c r="B192" s="30" t="s">
        <v>23</v>
      </c>
      <c r="C192" s="44">
        <v>45826</v>
      </c>
      <c r="D192" s="30" t="s">
        <v>24</v>
      </c>
      <c r="E192" s="30" t="s">
        <v>16</v>
      </c>
      <c r="F192" s="30">
        <v>3956</v>
      </c>
      <c r="G192" s="30">
        <v>319</v>
      </c>
      <c r="H192" s="30">
        <v>61</v>
      </c>
      <c r="I192" s="30">
        <v>58162</v>
      </c>
      <c r="J192" s="30">
        <v>28720</v>
      </c>
      <c r="K192" s="30">
        <v>213</v>
      </c>
      <c r="L192" s="30" t="s">
        <v>368</v>
      </c>
      <c r="M192" s="30" t="s">
        <v>17</v>
      </c>
      <c r="N192" s="39">
        <f>(Table1_1[[#This Row],[Likes]]+Table1_1[[#This Row],[Shares]]+Table1_1[[#This Row],[Comments]])/Table1_1[[#This Row],[Impressions]]</f>
        <v>7.4550393727863554E-2</v>
      </c>
      <c r="O192" t="str">
        <f>IF(Table1_1[[#This Row],[Date]] &lt; DATE(2025,1,1),"Before","During")</f>
        <v>During</v>
      </c>
    </row>
    <row r="193" spans="1:15">
      <c r="A193" s="30" t="s">
        <v>213</v>
      </c>
      <c r="B193" s="30" t="s">
        <v>14</v>
      </c>
      <c r="C193" s="44">
        <v>45640</v>
      </c>
      <c r="D193" s="30" t="s">
        <v>24</v>
      </c>
      <c r="E193" s="30" t="s">
        <v>45</v>
      </c>
      <c r="F193" s="30">
        <v>3812</v>
      </c>
      <c r="G193" s="30">
        <v>321</v>
      </c>
      <c r="H193" s="30">
        <v>289</v>
      </c>
      <c r="I193" s="30">
        <v>59838</v>
      </c>
      <c r="J193" s="30">
        <v>36337</v>
      </c>
      <c r="K193" s="30">
        <v>161</v>
      </c>
      <c r="L193" s="30" t="s">
        <v>38</v>
      </c>
      <c r="M193" s="30" t="s">
        <v>51</v>
      </c>
      <c r="N193" s="39">
        <f>(Table1_1[[#This Row],[Likes]]+Table1_1[[#This Row],[Shares]]+Table1_1[[#This Row],[Comments]])/Table1_1[[#This Row],[Impressions]]</f>
        <v>7.3899528727564417E-2</v>
      </c>
      <c r="O193" t="str">
        <f>IF(Table1_1[[#This Row],[Date]] &lt; DATE(2025,1,1),"Before","During")</f>
        <v>Before</v>
      </c>
    </row>
    <row r="194" spans="1:15">
      <c r="A194" s="30" t="s">
        <v>303</v>
      </c>
      <c r="B194" s="30" t="s">
        <v>29</v>
      </c>
      <c r="C194" s="44">
        <v>45368</v>
      </c>
      <c r="D194" s="30" t="s">
        <v>53</v>
      </c>
      <c r="E194" s="30" t="s">
        <v>19</v>
      </c>
      <c r="F194" s="30">
        <v>2692</v>
      </c>
      <c r="G194" s="30">
        <v>446</v>
      </c>
      <c r="H194" s="30">
        <v>216</v>
      </c>
      <c r="I194" s="30">
        <v>45818</v>
      </c>
      <c r="J194" s="30">
        <v>62723</v>
      </c>
      <c r="K194" s="30">
        <v>85</v>
      </c>
      <c r="L194" s="30" t="s">
        <v>20</v>
      </c>
      <c r="M194" s="30" t="s">
        <v>54</v>
      </c>
      <c r="N194" s="39">
        <f>(Table1_1[[#This Row],[Likes]]+Table1_1[[#This Row],[Shares]]+Table1_1[[#This Row],[Comments]])/Table1_1[[#This Row],[Impressions]]</f>
        <v>7.3202671439172376E-2</v>
      </c>
      <c r="O194" t="str">
        <f>IF(Table1_1[[#This Row],[Date]] &lt; DATE(2025,1,1),"Before","During")</f>
        <v>Before</v>
      </c>
    </row>
    <row r="195" spans="1:15">
      <c r="A195" s="30" t="s">
        <v>115</v>
      </c>
      <c r="B195" s="30" t="s">
        <v>14</v>
      </c>
      <c r="C195" s="44">
        <v>45825</v>
      </c>
      <c r="D195" s="30" t="s">
        <v>15</v>
      </c>
      <c r="E195" s="30" t="s">
        <v>30</v>
      </c>
      <c r="F195" s="30">
        <v>2284</v>
      </c>
      <c r="G195" s="30">
        <v>187</v>
      </c>
      <c r="H195" s="30">
        <v>260</v>
      </c>
      <c r="I195" s="30">
        <v>37400</v>
      </c>
      <c r="J195" s="30">
        <v>65014</v>
      </c>
      <c r="K195" s="30">
        <v>157</v>
      </c>
      <c r="L195" s="30" t="s">
        <v>41</v>
      </c>
      <c r="M195" s="30" t="s">
        <v>17</v>
      </c>
      <c r="N195" s="39">
        <f>(Table1_1[[#This Row],[Likes]]+Table1_1[[#This Row],[Shares]]+Table1_1[[#This Row],[Comments]])/Table1_1[[#This Row],[Impressions]]</f>
        <v>7.3021390374331557E-2</v>
      </c>
      <c r="O195" t="str">
        <f>IF(Table1_1[[#This Row],[Date]] &lt; DATE(2025,1,1),"Before","During")</f>
        <v>During</v>
      </c>
    </row>
    <row r="196" spans="1:15">
      <c r="A196" s="30" t="s">
        <v>217</v>
      </c>
      <c r="B196" s="30" t="s">
        <v>14</v>
      </c>
      <c r="C196" s="44">
        <v>45370</v>
      </c>
      <c r="D196" s="30" t="s">
        <v>15</v>
      </c>
      <c r="E196" s="30" t="s">
        <v>45</v>
      </c>
      <c r="F196" s="30">
        <v>2878</v>
      </c>
      <c r="G196" s="30">
        <v>278</v>
      </c>
      <c r="H196" s="30">
        <v>255</v>
      </c>
      <c r="I196" s="30">
        <v>47235</v>
      </c>
      <c r="J196" s="30">
        <v>57922</v>
      </c>
      <c r="K196" s="30">
        <v>112</v>
      </c>
      <c r="L196" s="30" t="s">
        <v>41</v>
      </c>
      <c r="M196" s="30" t="s">
        <v>17</v>
      </c>
      <c r="N196" s="39">
        <f>(Table1_1[[#This Row],[Likes]]+Table1_1[[#This Row],[Shares]]+Table1_1[[#This Row],[Comments]])/Table1_1[[#This Row],[Impressions]]</f>
        <v>7.2213401079707848E-2</v>
      </c>
      <c r="O196" t="str">
        <f>IF(Table1_1[[#This Row],[Date]] &lt; DATE(2025,1,1),"Before","During")</f>
        <v>Before</v>
      </c>
    </row>
    <row r="197" spans="1:15">
      <c r="A197" s="30" t="s">
        <v>182</v>
      </c>
      <c r="B197" s="30" t="s">
        <v>23</v>
      </c>
      <c r="C197" s="44">
        <v>45312</v>
      </c>
      <c r="D197" s="30" t="s">
        <v>24</v>
      </c>
      <c r="E197" s="30" t="s">
        <v>16</v>
      </c>
      <c r="F197" s="30">
        <v>2383</v>
      </c>
      <c r="G197" s="30">
        <v>136</v>
      </c>
      <c r="H197" s="30">
        <v>302</v>
      </c>
      <c r="I197" s="30">
        <v>39187</v>
      </c>
      <c r="J197" s="30">
        <v>22133</v>
      </c>
      <c r="K197" s="30">
        <v>208</v>
      </c>
      <c r="L197" s="30" t="s">
        <v>368</v>
      </c>
      <c r="M197" s="30" t="s">
        <v>17</v>
      </c>
      <c r="N197" s="39">
        <f>(Table1_1[[#This Row],[Likes]]+Table1_1[[#This Row],[Shares]]+Table1_1[[#This Row],[Comments]])/Table1_1[[#This Row],[Impressions]]</f>
        <v>7.1988159338556151E-2</v>
      </c>
      <c r="O197" t="str">
        <f>IF(Table1_1[[#This Row],[Date]] &lt; DATE(2025,1,1),"Before","During")</f>
        <v>Before</v>
      </c>
    </row>
    <row r="198" spans="1:15">
      <c r="A198" s="30" t="s">
        <v>282</v>
      </c>
      <c r="B198" s="30" t="s">
        <v>23</v>
      </c>
      <c r="C198" s="44">
        <v>45551</v>
      </c>
      <c r="D198" s="30" t="s">
        <v>24</v>
      </c>
      <c r="E198" s="30" t="s">
        <v>47</v>
      </c>
      <c r="F198" s="30">
        <v>3300</v>
      </c>
      <c r="G198" s="30">
        <v>354</v>
      </c>
      <c r="H198" s="30">
        <v>397</v>
      </c>
      <c r="I198" s="30">
        <v>56773</v>
      </c>
      <c r="J198" s="30">
        <v>72110</v>
      </c>
      <c r="K198" s="30">
        <v>163</v>
      </c>
      <c r="L198" s="30" t="s">
        <v>20</v>
      </c>
      <c r="M198" s="30" t="s">
        <v>17</v>
      </c>
      <c r="N198" s="39">
        <f>(Table1_1[[#This Row],[Likes]]+Table1_1[[#This Row],[Shares]]+Table1_1[[#This Row],[Comments]])/Table1_1[[#This Row],[Impressions]]</f>
        <v>7.1354340971940891E-2</v>
      </c>
      <c r="O198" t="str">
        <f>IF(Table1_1[[#This Row],[Date]] &lt; DATE(2025,1,1),"Before","During")</f>
        <v>Before</v>
      </c>
    </row>
    <row r="199" spans="1:15">
      <c r="A199" s="30" t="s">
        <v>242</v>
      </c>
      <c r="B199" s="30" t="s">
        <v>23</v>
      </c>
      <c r="C199" s="44">
        <v>45387</v>
      </c>
      <c r="D199" s="30" t="s">
        <v>24</v>
      </c>
      <c r="E199" s="30" t="s">
        <v>27</v>
      </c>
      <c r="F199" s="30">
        <v>2857</v>
      </c>
      <c r="G199" s="30">
        <v>443</v>
      </c>
      <c r="H199" s="30">
        <v>359</v>
      </c>
      <c r="I199" s="30">
        <v>51519</v>
      </c>
      <c r="J199" s="30">
        <v>28256</v>
      </c>
      <c r="K199" s="30">
        <v>155</v>
      </c>
      <c r="L199" s="30" t="s">
        <v>41</v>
      </c>
      <c r="M199" s="30" t="s">
        <v>17</v>
      </c>
      <c r="N199" s="39">
        <f>(Table1_1[[#This Row],[Likes]]+Table1_1[[#This Row],[Shares]]+Table1_1[[#This Row],[Comments]])/Table1_1[[#This Row],[Impressions]]</f>
        <v>7.1022341272152026E-2</v>
      </c>
      <c r="O199" t="str">
        <f>IF(Table1_1[[#This Row],[Date]] &lt; DATE(2025,1,1),"Before","During")</f>
        <v>Before</v>
      </c>
    </row>
    <row r="200" spans="1:15">
      <c r="A200" s="30" t="s">
        <v>214</v>
      </c>
      <c r="B200" s="30" t="s">
        <v>23</v>
      </c>
      <c r="C200" s="44">
        <v>45615</v>
      </c>
      <c r="D200" s="30" t="s">
        <v>15</v>
      </c>
      <c r="E200" s="30" t="s">
        <v>19</v>
      </c>
      <c r="F200" s="30">
        <v>2387</v>
      </c>
      <c r="G200" s="30">
        <v>353</v>
      </c>
      <c r="H200" s="30">
        <v>78</v>
      </c>
      <c r="I200" s="30">
        <v>39745</v>
      </c>
      <c r="J200" s="30">
        <v>69226</v>
      </c>
      <c r="K200" s="30">
        <v>208</v>
      </c>
      <c r="L200" s="30" t="s">
        <v>41</v>
      </c>
      <c r="M200" s="30" t="s">
        <v>21</v>
      </c>
      <c r="N200" s="39">
        <f>(Table1_1[[#This Row],[Likes]]+Table1_1[[#This Row],[Shares]]+Table1_1[[#This Row],[Comments]])/Table1_1[[#This Row],[Impressions]]</f>
        <v>7.090200025160398E-2</v>
      </c>
      <c r="O200" t="str">
        <f>IF(Table1_1[[#This Row],[Date]] &lt; DATE(2025,1,1),"Before","During")</f>
        <v>Before</v>
      </c>
    </row>
    <row r="201" spans="1:15">
      <c r="A201" s="30" t="s">
        <v>161</v>
      </c>
      <c r="B201" s="30" t="s">
        <v>23</v>
      </c>
      <c r="C201" s="44">
        <v>45295</v>
      </c>
      <c r="D201" s="30" t="s">
        <v>24</v>
      </c>
      <c r="E201" s="30" t="s">
        <v>32</v>
      </c>
      <c r="F201" s="30">
        <v>3208</v>
      </c>
      <c r="G201" s="30">
        <v>476</v>
      </c>
      <c r="H201" s="30">
        <v>277</v>
      </c>
      <c r="I201" s="30">
        <v>56072</v>
      </c>
      <c r="J201" s="30">
        <v>21061</v>
      </c>
      <c r="K201" s="30">
        <v>113</v>
      </c>
      <c r="L201" s="30" t="s">
        <v>368</v>
      </c>
      <c r="M201" s="30" t="s">
        <v>17</v>
      </c>
      <c r="N201" s="39">
        <f>(Table1_1[[#This Row],[Likes]]+Table1_1[[#This Row],[Shares]]+Table1_1[[#This Row],[Comments]])/Table1_1[[#This Row],[Impressions]]</f>
        <v>7.064131830503638E-2</v>
      </c>
      <c r="O201" t="str">
        <f>IF(Table1_1[[#This Row],[Date]] &lt; DATE(2025,1,1),"Before","During")</f>
        <v>Before</v>
      </c>
    </row>
    <row r="202" spans="1:15">
      <c r="A202" s="30" t="s">
        <v>176</v>
      </c>
      <c r="B202" s="30" t="s">
        <v>29</v>
      </c>
      <c r="C202" s="44">
        <v>45566</v>
      </c>
      <c r="D202" s="30" t="s">
        <v>53</v>
      </c>
      <c r="E202" s="30" t="s">
        <v>19</v>
      </c>
      <c r="F202" s="30">
        <v>3543</v>
      </c>
      <c r="G202" s="30">
        <v>334</v>
      </c>
      <c r="H202" s="30">
        <v>218</v>
      </c>
      <c r="I202" s="30">
        <v>58007</v>
      </c>
      <c r="J202" s="30">
        <v>24792</v>
      </c>
      <c r="K202" s="30">
        <v>273</v>
      </c>
      <c r="L202" s="30" t="s">
        <v>20</v>
      </c>
      <c r="M202" s="30" t="s">
        <v>54</v>
      </c>
      <c r="N202" s="39">
        <f>(Table1_1[[#This Row],[Likes]]+Table1_1[[#This Row],[Shares]]+Table1_1[[#This Row],[Comments]])/Table1_1[[#This Row],[Impressions]]</f>
        <v>7.0594928198320889E-2</v>
      </c>
      <c r="O202" t="str">
        <f>IF(Table1_1[[#This Row],[Date]] &lt; DATE(2025,1,1),"Before","During")</f>
        <v>Before</v>
      </c>
    </row>
    <row r="203" spans="1:15">
      <c r="A203" s="30" t="s">
        <v>22</v>
      </c>
      <c r="B203" s="30" t="s">
        <v>23</v>
      </c>
      <c r="C203" s="44">
        <v>45629</v>
      </c>
      <c r="D203" s="30" t="s">
        <v>24</v>
      </c>
      <c r="E203" s="30" t="s">
        <v>25</v>
      </c>
      <c r="F203" s="30">
        <v>3092</v>
      </c>
      <c r="G203" s="30">
        <v>177</v>
      </c>
      <c r="H203" s="30">
        <v>81</v>
      </c>
      <c r="I203" s="30">
        <v>47533</v>
      </c>
      <c r="J203" s="30">
        <v>29220</v>
      </c>
      <c r="K203" s="30">
        <v>121</v>
      </c>
      <c r="L203" s="30" t="s">
        <v>368</v>
      </c>
      <c r="M203" s="30" t="s">
        <v>17</v>
      </c>
      <c r="N203" s="39">
        <f>(Table1_1[[#This Row],[Likes]]+Table1_1[[#This Row],[Shares]]+Table1_1[[#This Row],[Comments]])/Table1_1[[#This Row],[Impressions]]</f>
        <v>7.0477352576105018E-2</v>
      </c>
      <c r="O203" t="str">
        <f>IF(Table1_1[[#This Row],[Date]] &lt; DATE(2025,1,1),"Before","During")</f>
        <v>Before</v>
      </c>
    </row>
    <row r="204" spans="1:15">
      <c r="A204" s="30" t="s">
        <v>64</v>
      </c>
      <c r="B204" s="30" t="s">
        <v>23</v>
      </c>
      <c r="C204" s="44">
        <v>45734</v>
      </c>
      <c r="D204" s="30" t="s">
        <v>24</v>
      </c>
      <c r="E204" s="30" t="s">
        <v>19</v>
      </c>
      <c r="F204" s="30">
        <v>3418</v>
      </c>
      <c r="G204" s="30">
        <v>188</v>
      </c>
      <c r="H204" s="30">
        <v>387</v>
      </c>
      <c r="I204" s="30">
        <v>57431</v>
      </c>
      <c r="J204" s="30">
        <v>36933</v>
      </c>
      <c r="K204" s="30">
        <v>202</v>
      </c>
      <c r="L204" s="30" t="s">
        <v>368</v>
      </c>
      <c r="M204" s="30" t="s">
        <v>17</v>
      </c>
      <c r="N204" s="39">
        <f>(Table1_1[[#This Row],[Likes]]+Table1_1[[#This Row],[Shares]]+Table1_1[[#This Row],[Comments]])/Table1_1[[#This Row],[Impressions]]</f>
        <v>6.9526910553533799E-2</v>
      </c>
      <c r="O204" t="str">
        <f>IF(Table1_1[[#This Row],[Date]] &lt; DATE(2025,1,1),"Before","During")</f>
        <v>During</v>
      </c>
    </row>
    <row r="205" spans="1:15">
      <c r="A205" s="30" t="s">
        <v>186</v>
      </c>
      <c r="B205" s="30" t="s">
        <v>14</v>
      </c>
      <c r="C205" s="44">
        <v>45516</v>
      </c>
      <c r="D205" s="30" t="s">
        <v>24</v>
      </c>
      <c r="E205" s="30" t="s">
        <v>16</v>
      </c>
      <c r="F205" s="30">
        <v>2962</v>
      </c>
      <c r="G205" s="30">
        <v>400</v>
      </c>
      <c r="H205" s="30">
        <v>280</v>
      </c>
      <c r="I205" s="30">
        <v>52508</v>
      </c>
      <c r="J205" s="30">
        <v>58329</v>
      </c>
      <c r="K205" s="30">
        <v>219</v>
      </c>
      <c r="L205" s="30" t="s">
        <v>38</v>
      </c>
      <c r="M205" s="30" t="s">
        <v>51</v>
      </c>
      <c r="N205" s="39">
        <f>(Table1_1[[#This Row],[Likes]]+Table1_1[[#This Row],[Shares]]+Table1_1[[#This Row],[Comments]])/Table1_1[[#This Row],[Impressions]]</f>
        <v>6.9360859297630834E-2</v>
      </c>
      <c r="O205" t="str">
        <f>IF(Table1_1[[#This Row],[Date]] &lt; DATE(2025,1,1),"Before","During")</f>
        <v>Before</v>
      </c>
    </row>
    <row r="206" spans="1:15">
      <c r="A206" s="30" t="s">
        <v>134</v>
      </c>
      <c r="B206" s="30" t="s">
        <v>23</v>
      </c>
      <c r="C206" s="44">
        <v>45580</v>
      </c>
      <c r="D206" s="30" t="s">
        <v>15</v>
      </c>
      <c r="E206" s="30" t="s">
        <v>27</v>
      </c>
      <c r="F206" s="30">
        <v>1984</v>
      </c>
      <c r="G206" s="30">
        <v>481</v>
      </c>
      <c r="H206" s="30">
        <v>356</v>
      </c>
      <c r="I206" s="30">
        <v>40681</v>
      </c>
      <c r="J206" s="30">
        <v>63111</v>
      </c>
      <c r="K206" s="30">
        <v>258</v>
      </c>
      <c r="L206" s="30" t="s">
        <v>38</v>
      </c>
      <c r="M206" s="30" t="s">
        <v>17</v>
      </c>
      <c r="N206" s="39">
        <f>(Table1_1[[#This Row],[Likes]]+Table1_1[[#This Row],[Shares]]+Table1_1[[#This Row],[Comments]])/Table1_1[[#This Row],[Impressions]]</f>
        <v>6.934441139598338E-2</v>
      </c>
      <c r="O206" t="str">
        <f>IF(Table1_1[[#This Row],[Date]] &lt; DATE(2025,1,1),"Before","During")</f>
        <v>Before</v>
      </c>
    </row>
    <row r="207" spans="1:15">
      <c r="A207" s="30" t="s">
        <v>296</v>
      </c>
      <c r="B207" s="30" t="s">
        <v>23</v>
      </c>
      <c r="C207" s="44">
        <v>45612</v>
      </c>
      <c r="D207" s="30" t="s">
        <v>15</v>
      </c>
      <c r="E207" s="30" t="s">
        <v>45</v>
      </c>
      <c r="F207" s="30">
        <v>2972</v>
      </c>
      <c r="G207" s="30">
        <v>263</v>
      </c>
      <c r="H207" s="30">
        <v>308</v>
      </c>
      <c r="I207" s="30">
        <v>51740</v>
      </c>
      <c r="J207" s="30">
        <v>28214</v>
      </c>
      <c r="K207" s="30">
        <v>190</v>
      </c>
      <c r="L207" s="30" t="s">
        <v>41</v>
      </c>
      <c r="M207" s="30" t="s">
        <v>21</v>
      </c>
      <c r="N207" s="39">
        <f>(Table1_1[[#This Row],[Likes]]+Table1_1[[#This Row],[Shares]]+Table1_1[[#This Row],[Comments]])/Table1_1[[#This Row],[Impressions]]</f>
        <v>6.8477000386548123E-2</v>
      </c>
      <c r="O207" t="str">
        <f>IF(Table1_1[[#This Row],[Date]] &lt; DATE(2025,1,1),"Before","During")</f>
        <v>Before</v>
      </c>
    </row>
    <row r="208" spans="1:15">
      <c r="A208" s="30" t="s">
        <v>266</v>
      </c>
      <c r="B208" s="30" t="s">
        <v>14</v>
      </c>
      <c r="C208" s="44">
        <v>45379</v>
      </c>
      <c r="D208" s="30" t="s">
        <v>15</v>
      </c>
      <c r="E208" s="30" t="s">
        <v>32</v>
      </c>
      <c r="F208" s="30">
        <v>1673</v>
      </c>
      <c r="G208" s="30">
        <v>280</v>
      </c>
      <c r="H208" s="30">
        <v>67</v>
      </c>
      <c r="I208" s="30">
        <v>29847</v>
      </c>
      <c r="J208" s="30">
        <v>48016</v>
      </c>
      <c r="K208" s="30">
        <v>213</v>
      </c>
      <c r="L208" s="30" t="s">
        <v>41</v>
      </c>
      <c r="M208" s="30" t="s">
        <v>17</v>
      </c>
      <c r="N208" s="39">
        <f>(Table1_1[[#This Row],[Likes]]+Table1_1[[#This Row],[Shares]]+Table1_1[[#This Row],[Comments]])/Table1_1[[#This Row],[Impressions]]</f>
        <v>6.76784936509532E-2</v>
      </c>
      <c r="O208" t="str">
        <f>IF(Table1_1[[#This Row],[Date]] &lt; DATE(2025,1,1),"Before","During")</f>
        <v>Before</v>
      </c>
    </row>
    <row r="209" spans="1:15">
      <c r="A209" s="30" t="s">
        <v>138</v>
      </c>
      <c r="B209" s="30" t="s">
        <v>14</v>
      </c>
      <c r="C209" s="44">
        <v>45336</v>
      </c>
      <c r="D209" s="30" t="s">
        <v>15</v>
      </c>
      <c r="E209" s="30" t="s">
        <v>30</v>
      </c>
      <c r="F209" s="30">
        <v>1830</v>
      </c>
      <c r="G209" s="30">
        <v>112</v>
      </c>
      <c r="H209" s="30">
        <v>181</v>
      </c>
      <c r="I209" s="30">
        <v>31870</v>
      </c>
      <c r="J209" s="30">
        <v>55742</v>
      </c>
      <c r="K209" s="30">
        <v>263</v>
      </c>
      <c r="L209" s="30" t="s">
        <v>41</v>
      </c>
      <c r="M209" s="30" t="s">
        <v>17</v>
      </c>
      <c r="N209" s="39">
        <f>(Table1_1[[#This Row],[Likes]]+Table1_1[[#This Row],[Shares]]+Table1_1[[#This Row],[Comments]])/Table1_1[[#This Row],[Impressions]]</f>
        <v>6.6614370881706936E-2</v>
      </c>
      <c r="O209" t="str">
        <f>IF(Table1_1[[#This Row],[Date]] &lt; DATE(2025,1,1),"Before","During")</f>
        <v>Before</v>
      </c>
    </row>
    <row r="210" spans="1:15">
      <c r="A210" s="30" t="s">
        <v>313</v>
      </c>
      <c r="B210" s="30" t="s">
        <v>14</v>
      </c>
      <c r="C210" s="44">
        <v>45628</v>
      </c>
      <c r="D210" s="30" t="s">
        <v>15</v>
      </c>
      <c r="E210" s="30" t="s">
        <v>37</v>
      </c>
      <c r="F210" s="30">
        <v>3194</v>
      </c>
      <c r="G210" s="30">
        <v>292</v>
      </c>
      <c r="H210" s="30">
        <v>245</v>
      </c>
      <c r="I210" s="30">
        <v>56371</v>
      </c>
      <c r="J210" s="30">
        <v>65597</v>
      </c>
      <c r="K210" s="30">
        <v>163</v>
      </c>
      <c r="L210" s="30" t="s">
        <v>41</v>
      </c>
      <c r="M210" s="30" t="s">
        <v>17</v>
      </c>
      <c r="N210" s="39">
        <f>(Table1_1[[#This Row],[Likes]]+Table1_1[[#This Row],[Shares]]+Table1_1[[#This Row],[Comments]])/Table1_1[[#This Row],[Impressions]]</f>
        <v>6.6186514342481059E-2</v>
      </c>
      <c r="O210" t="str">
        <f>IF(Table1_1[[#This Row],[Date]] &lt; DATE(2025,1,1),"Before","During")</f>
        <v>Before</v>
      </c>
    </row>
    <row r="211" spans="1:15">
      <c r="A211" s="30" t="s">
        <v>308</v>
      </c>
      <c r="B211" s="30" t="s">
        <v>23</v>
      </c>
      <c r="C211" s="44">
        <v>45334</v>
      </c>
      <c r="D211" s="30" t="s">
        <v>15</v>
      </c>
      <c r="E211" s="30" t="s">
        <v>19</v>
      </c>
      <c r="F211" s="30">
        <v>2691</v>
      </c>
      <c r="G211" s="30">
        <v>486</v>
      </c>
      <c r="H211" s="30">
        <v>206</v>
      </c>
      <c r="I211" s="30">
        <v>51133</v>
      </c>
      <c r="J211" s="30">
        <v>44583</v>
      </c>
      <c r="K211" s="30">
        <v>276</v>
      </c>
      <c r="L211" s="30" t="s">
        <v>38</v>
      </c>
      <c r="M211" s="30" t="s">
        <v>17</v>
      </c>
      <c r="N211" s="39">
        <f>(Table1_1[[#This Row],[Likes]]+Table1_1[[#This Row],[Shares]]+Table1_1[[#This Row],[Comments]])/Table1_1[[#This Row],[Impressions]]</f>
        <v>6.6160796354604659E-2</v>
      </c>
      <c r="O211" t="str">
        <f>IF(Table1_1[[#This Row],[Date]] &lt; DATE(2025,1,1),"Before","During")</f>
        <v>Before</v>
      </c>
    </row>
    <row r="212" spans="1:15">
      <c r="A212" s="30" t="s">
        <v>228</v>
      </c>
      <c r="B212" s="30" t="s">
        <v>29</v>
      </c>
      <c r="C212" s="44">
        <v>45447</v>
      </c>
      <c r="D212" s="30" t="s">
        <v>53</v>
      </c>
      <c r="E212" s="30" t="s">
        <v>27</v>
      </c>
      <c r="F212" s="30">
        <v>1211</v>
      </c>
      <c r="G212" s="30">
        <v>431</v>
      </c>
      <c r="H212" s="30">
        <v>83</v>
      </c>
      <c r="I212" s="30">
        <v>26532</v>
      </c>
      <c r="J212" s="30">
        <v>47305</v>
      </c>
      <c r="K212" s="30">
        <v>232</v>
      </c>
      <c r="L212" s="30" t="s">
        <v>20</v>
      </c>
      <c r="M212" s="30" t="s">
        <v>54</v>
      </c>
      <c r="N212" s="39">
        <f>(Table1_1[[#This Row],[Likes]]+Table1_1[[#This Row],[Shares]]+Table1_1[[#This Row],[Comments]])/Table1_1[[#This Row],[Impressions]]</f>
        <v>6.5015829941203071E-2</v>
      </c>
      <c r="O212" t="str">
        <f>IF(Table1_1[[#This Row],[Date]] &lt; DATE(2025,1,1),"Before","During")</f>
        <v>Before</v>
      </c>
    </row>
    <row r="213" spans="1:15">
      <c r="A213" s="30" t="s">
        <v>270</v>
      </c>
      <c r="B213" s="30" t="s">
        <v>29</v>
      </c>
      <c r="C213" s="44">
        <v>45542</v>
      </c>
      <c r="D213" s="30" t="s">
        <v>15</v>
      </c>
      <c r="E213" s="30" t="s">
        <v>47</v>
      </c>
      <c r="F213" s="30">
        <v>2101</v>
      </c>
      <c r="G213" s="30">
        <v>411</v>
      </c>
      <c r="H213" s="30">
        <v>190</v>
      </c>
      <c r="I213" s="30">
        <v>41791</v>
      </c>
      <c r="J213" s="30">
        <v>57090</v>
      </c>
      <c r="K213" s="30">
        <v>172</v>
      </c>
      <c r="L213" s="30" t="s">
        <v>20</v>
      </c>
      <c r="M213" s="30" t="s">
        <v>21</v>
      </c>
      <c r="N213" s="39">
        <f>(Table1_1[[#This Row],[Likes]]+Table1_1[[#This Row],[Shares]]+Table1_1[[#This Row],[Comments]])/Table1_1[[#This Row],[Impressions]]</f>
        <v>6.4655069273288512E-2</v>
      </c>
      <c r="O213" t="str">
        <f>IF(Table1_1[[#This Row],[Date]] &lt; DATE(2025,1,1),"Before","During")</f>
        <v>Before</v>
      </c>
    </row>
    <row r="214" spans="1:15">
      <c r="A214" s="30" t="s">
        <v>52</v>
      </c>
      <c r="B214" s="30" t="s">
        <v>29</v>
      </c>
      <c r="C214" s="44">
        <v>45458</v>
      </c>
      <c r="D214" s="30" t="s">
        <v>53</v>
      </c>
      <c r="E214" s="30" t="s">
        <v>34</v>
      </c>
      <c r="F214" s="30">
        <v>1751</v>
      </c>
      <c r="G214" s="30">
        <v>143</v>
      </c>
      <c r="H214" s="30">
        <v>151</v>
      </c>
      <c r="I214" s="30">
        <v>31826</v>
      </c>
      <c r="J214" s="30">
        <v>47729</v>
      </c>
      <c r="K214" s="30">
        <v>95</v>
      </c>
      <c r="L214" s="30" t="s">
        <v>20</v>
      </c>
      <c r="M214" s="30" t="s">
        <v>54</v>
      </c>
      <c r="N214" s="39">
        <f>(Table1_1[[#This Row],[Likes]]+Table1_1[[#This Row],[Shares]]+Table1_1[[#This Row],[Comments]])/Table1_1[[#This Row],[Impressions]]</f>
        <v>6.4255640042732362E-2</v>
      </c>
      <c r="O214" t="str">
        <f>IF(Table1_1[[#This Row],[Date]] &lt; DATE(2025,1,1),"Before","During")</f>
        <v>Before</v>
      </c>
    </row>
    <row r="215" spans="1:15">
      <c r="A215" s="30" t="s">
        <v>128</v>
      </c>
      <c r="B215" s="30" t="s">
        <v>14</v>
      </c>
      <c r="C215" s="44">
        <v>45351</v>
      </c>
      <c r="D215" s="30" t="s">
        <v>15</v>
      </c>
      <c r="E215" s="30" t="s">
        <v>45</v>
      </c>
      <c r="F215" s="30">
        <v>1100</v>
      </c>
      <c r="G215" s="30">
        <v>229</v>
      </c>
      <c r="H215" s="30">
        <v>312</v>
      </c>
      <c r="I215" s="30">
        <v>25641</v>
      </c>
      <c r="J215" s="30">
        <v>34601</v>
      </c>
      <c r="K215" s="30">
        <v>169</v>
      </c>
      <c r="L215" s="30" t="s">
        <v>20</v>
      </c>
      <c r="M215" s="30" t="s">
        <v>21</v>
      </c>
      <c r="N215" s="39">
        <f>(Table1_1[[#This Row],[Likes]]+Table1_1[[#This Row],[Shares]]+Table1_1[[#This Row],[Comments]])/Table1_1[[#This Row],[Impressions]]</f>
        <v>6.3999063999063993E-2</v>
      </c>
      <c r="O215" t="str">
        <f>IF(Table1_1[[#This Row],[Date]] &lt; DATE(2025,1,1),"Before","During")</f>
        <v>Before</v>
      </c>
    </row>
    <row r="216" spans="1:15">
      <c r="A216" s="30" t="s">
        <v>71</v>
      </c>
      <c r="B216" s="30" t="s">
        <v>14</v>
      </c>
      <c r="C216" s="44">
        <v>45416</v>
      </c>
      <c r="D216" s="30" t="s">
        <v>15</v>
      </c>
      <c r="E216" s="30" t="s">
        <v>27</v>
      </c>
      <c r="F216" s="30">
        <v>2274</v>
      </c>
      <c r="G216" s="30">
        <v>243</v>
      </c>
      <c r="H216" s="30">
        <v>222</v>
      </c>
      <c r="I216" s="30">
        <v>43066</v>
      </c>
      <c r="J216" s="30">
        <v>59174</v>
      </c>
      <c r="K216" s="30">
        <v>80</v>
      </c>
      <c r="L216" s="30" t="s">
        <v>20</v>
      </c>
      <c r="M216" s="30" t="s">
        <v>21</v>
      </c>
      <c r="N216" s="39">
        <f>(Table1_1[[#This Row],[Likes]]+Table1_1[[#This Row],[Shares]]+Table1_1[[#This Row],[Comments]])/Table1_1[[#This Row],[Impressions]]</f>
        <v>6.3600055728416843E-2</v>
      </c>
      <c r="O216" t="str">
        <f>IF(Table1_1[[#This Row],[Date]] &lt; DATE(2025,1,1),"Before","During")</f>
        <v>Before</v>
      </c>
    </row>
    <row r="217" spans="1:15">
      <c r="A217" s="30" t="s">
        <v>236</v>
      </c>
      <c r="B217" s="30" t="s">
        <v>23</v>
      </c>
      <c r="C217" s="44">
        <v>45547</v>
      </c>
      <c r="D217" s="30" t="s">
        <v>24</v>
      </c>
      <c r="E217" s="30" t="s">
        <v>27</v>
      </c>
      <c r="F217" s="30">
        <v>1839</v>
      </c>
      <c r="G217" s="30">
        <v>223</v>
      </c>
      <c r="H217" s="30">
        <v>171</v>
      </c>
      <c r="I217" s="30">
        <v>35459</v>
      </c>
      <c r="J217" s="30">
        <v>69988</v>
      </c>
      <c r="K217" s="30">
        <v>114</v>
      </c>
      <c r="L217" s="30" t="s">
        <v>368</v>
      </c>
      <c r="M217" s="30" t="s">
        <v>17</v>
      </c>
      <c r="N217" s="39">
        <f>(Table1_1[[#This Row],[Likes]]+Table1_1[[#This Row],[Shares]]+Table1_1[[#This Row],[Comments]])/Table1_1[[#This Row],[Impressions]]</f>
        <v>6.2974139146620034E-2</v>
      </c>
      <c r="O217" t="str">
        <f>IF(Table1_1[[#This Row],[Date]] &lt; DATE(2025,1,1),"Before","During")</f>
        <v>Before</v>
      </c>
    </row>
    <row r="218" spans="1:15">
      <c r="A218" s="30" t="s">
        <v>219</v>
      </c>
      <c r="B218" s="30" t="s">
        <v>23</v>
      </c>
      <c r="C218" s="44">
        <v>45486</v>
      </c>
      <c r="D218" s="30" t="s">
        <v>24</v>
      </c>
      <c r="E218" s="30" t="s">
        <v>34</v>
      </c>
      <c r="F218" s="30">
        <v>2408</v>
      </c>
      <c r="G218" s="30">
        <v>323</v>
      </c>
      <c r="H218" s="30">
        <v>251</v>
      </c>
      <c r="I218" s="30">
        <v>47599</v>
      </c>
      <c r="J218" s="30">
        <v>35543</v>
      </c>
      <c r="K218" s="30">
        <v>287</v>
      </c>
      <c r="L218" s="30" t="s">
        <v>368</v>
      </c>
      <c r="M218" s="30" t="s">
        <v>17</v>
      </c>
      <c r="N218" s="39">
        <f>(Table1_1[[#This Row],[Likes]]+Table1_1[[#This Row],[Shares]]+Table1_1[[#This Row],[Comments]])/Table1_1[[#This Row],[Impressions]]</f>
        <v>6.2648374965860634E-2</v>
      </c>
      <c r="O218" t="str">
        <f>IF(Table1_1[[#This Row],[Date]] &lt; DATE(2025,1,1),"Before","During")</f>
        <v>Before</v>
      </c>
    </row>
    <row r="219" spans="1:15">
      <c r="A219" s="30" t="s">
        <v>140</v>
      </c>
      <c r="B219" s="30" t="s">
        <v>23</v>
      </c>
      <c r="C219" s="44">
        <v>45553</v>
      </c>
      <c r="D219" s="30" t="s">
        <v>15</v>
      </c>
      <c r="E219" s="30" t="s">
        <v>16</v>
      </c>
      <c r="F219" s="30">
        <v>2878</v>
      </c>
      <c r="G219" s="30">
        <v>265</v>
      </c>
      <c r="H219" s="30">
        <v>91</v>
      </c>
      <c r="I219" s="30">
        <v>52090</v>
      </c>
      <c r="J219" s="30">
        <v>28924</v>
      </c>
      <c r="K219" s="30">
        <v>133</v>
      </c>
      <c r="L219" s="30" t="s">
        <v>38</v>
      </c>
      <c r="M219" s="30" t="s">
        <v>17</v>
      </c>
      <c r="N219" s="39">
        <f>(Table1_1[[#This Row],[Likes]]+Table1_1[[#This Row],[Shares]]+Table1_1[[#This Row],[Comments]])/Table1_1[[#This Row],[Impressions]]</f>
        <v>6.2084853138798232E-2</v>
      </c>
      <c r="O219" t="str">
        <f>IF(Table1_1[[#This Row],[Date]] &lt; DATE(2025,1,1),"Before","During")</f>
        <v>Before</v>
      </c>
    </row>
    <row r="220" spans="1:15">
      <c r="A220" s="30" t="s">
        <v>302</v>
      </c>
      <c r="B220" s="30" t="s">
        <v>29</v>
      </c>
      <c r="C220" s="44">
        <v>45604</v>
      </c>
      <c r="D220" s="30" t="s">
        <v>15</v>
      </c>
      <c r="E220" s="30" t="s">
        <v>37</v>
      </c>
      <c r="F220" s="30">
        <v>2471</v>
      </c>
      <c r="G220" s="30">
        <v>166</v>
      </c>
      <c r="H220" s="30">
        <v>320</v>
      </c>
      <c r="I220" s="30">
        <v>48254</v>
      </c>
      <c r="J220" s="30">
        <v>46900</v>
      </c>
      <c r="K220" s="30">
        <v>111</v>
      </c>
      <c r="L220" s="30" t="s">
        <v>20</v>
      </c>
      <c r="M220" s="30" t="s">
        <v>21</v>
      </c>
      <c r="N220" s="39">
        <f>(Table1_1[[#This Row],[Likes]]+Table1_1[[#This Row],[Shares]]+Table1_1[[#This Row],[Comments]])/Table1_1[[#This Row],[Impressions]]</f>
        <v>6.1279893894806647E-2</v>
      </c>
      <c r="O220" t="str">
        <f>IF(Table1_1[[#This Row],[Date]] &lt; DATE(2025,1,1),"Before","During")</f>
        <v>Before</v>
      </c>
    </row>
    <row r="221" spans="1:15">
      <c r="A221" s="30" t="s">
        <v>122</v>
      </c>
      <c r="B221" s="30" t="s">
        <v>23</v>
      </c>
      <c r="C221" s="44">
        <v>45405</v>
      </c>
      <c r="D221" s="30" t="s">
        <v>24</v>
      </c>
      <c r="E221" s="30" t="s">
        <v>16</v>
      </c>
      <c r="F221" s="30">
        <v>2683</v>
      </c>
      <c r="G221" s="30">
        <v>496</v>
      </c>
      <c r="H221" s="30">
        <v>89</v>
      </c>
      <c r="I221" s="30">
        <v>53435</v>
      </c>
      <c r="J221" s="30">
        <v>30334</v>
      </c>
      <c r="K221" s="30">
        <v>160</v>
      </c>
      <c r="L221" s="30" t="s">
        <v>41</v>
      </c>
      <c r="M221" s="30" t="s">
        <v>17</v>
      </c>
      <c r="N221" s="39">
        <f>(Table1_1[[#This Row],[Likes]]+Table1_1[[#This Row],[Shares]]+Table1_1[[#This Row],[Comments]])/Table1_1[[#This Row],[Impressions]]</f>
        <v>6.1158416768035934E-2</v>
      </c>
      <c r="O221" t="str">
        <f>IF(Table1_1[[#This Row],[Date]] &lt; DATE(2025,1,1),"Before","During")</f>
        <v>Before</v>
      </c>
    </row>
    <row r="222" spans="1:15">
      <c r="A222" s="30" t="s">
        <v>333</v>
      </c>
      <c r="B222" s="30" t="s">
        <v>23</v>
      </c>
      <c r="C222" s="44">
        <v>45838</v>
      </c>
      <c r="D222" s="30" t="s">
        <v>15</v>
      </c>
      <c r="E222" s="30" t="s">
        <v>32</v>
      </c>
      <c r="F222" s="30">
        <v>2275</v>
      </c>
      <c r="G222" s="30">
        <v>285</v>
      </c>
      <c r="H222" s="30">
        <v>125</v>
      </c>
      <c r="I222" s="30">
        <v>43970</v>
      </c>
      <c r="J222" s="30">
        <v>74761</v>
      </c>
      <c r="K222" s="30">
        <v>83</v>
      </c>
      <c r="L222" s="30" t="s">
        <v>38</v>
      </c>
      <c r="M222" s="30" t="s">
        <v>17</v>
      </c>
      <c r="N222" s="39">
        <f>(Table1_1[[#This Row],[Likes]]+Table1_1[[#This Row],[Shares]]+Table1_1[[#This Row],[Comments]])/Table1_1[[#This Row],[Impressions]]</f>
        <v>6.1064362065044349E-2</v>
      </c>
      <c r="O222" t="str">
        <f>IF(Table1_1[[#This Row],[Date]] &lt; DATE(2025,1,1),"Before","During")</f>
        <v>During</v>
      </c>
    </row>
    <row r="223" spans="1:15">
      <c r="A223" s="30" t="s">
        <v>179</v>
      </c>
      <c r="B223" s="30" t="s">
        <v>14</v>
      </c>
      <c r="C223" s="44">
        <v>45702</v>
      </c>
      <c r="D223" s="30" t="s">
        <v>15</v>
      </c>
      <c r="E223" s="30" t="s">
        <v>16</v>
      </c>
      <c r="F223" s="30">
        <v>2329</v>
      </c>
      <c r="G223" s="30">
        <v>373</v>
      </c>
      <c r="H223" s="30">
        <v>291</v>
      </c>
      <c r="I223" s="30">
        <v>49577</v>
      </c>
      <c r="J223" s="30">
        <v>28002</v>
      </c>
      <c r="K223" s="30">
        <v>82</v>
      </c>
      <c r="L223" s="30" t="s">
        <v>41</v>
      </c>
      <c r="M223" s="30" t="s">
        <v>17</v>
      </c>
      <c r="N223" s="39">
        <f>(Table1_1[[#This Row],[Likes]]+Table1_1[[#This Row],[Shares]]+Table1_1[[#This Row],[Comments]])/Table1_1[[#This Row],[Impressions]]</f>
        <v>6.0370736430199488E-2</v>
      </c>
      <c r="O223" t="str">
        <f>IF(Table1_1[[#This Row],[Date]] &lt; DATE(2025,1,1),"Before","During")</f>
        <v>During</v>
      </c>
    </row>
    <row r="224" spans="1:15">
      <c r="A224" s="30" t="s">
        <v>120</v>
      </c>
      <c r="B224" s="30" t="s">
        <v>14</v>
      </c>
      <c r="C224" s="44">
        <v>45522</v>
      </c>
      <c r="D224" s="30" t="s">
        <v>15</v>
      </c>
      <c r="E224" s="30" t="s">
        <v>19</v>
      </c>
      <c r="F224" s="30">
        <v>2965</v>
      </c>
      <c r="G224" s="30">
        <v>328</v>
      </c>
      <c r="H224" s="30">
        <v>171</v>
      </c>
      <c r="I224" s="30">
        <v>57685</v>
      </c>
      <c r="J224" s="30">
        <v>67536</v>
      </c>
      <c r="K224" s="30">
        <v>264</v>
      </c>
      <c r="L224" s="30" t="s">
        <v>41</v>
      </c>
      <c r="M224" s="30" t="s">
        <v>17</v>
      </c>
      <c r="N224" s="39">
        <f>(Table1_1[[#This Row],[Likes]]+Table1_1[[#This Row],[Shares]]+Table1_1[[#This Row],[Comments]])/Table1_1[[#This Row],[Impressions]]</f>
        <v>6.0050273034584378E-2</v>
      </c>
      <c r="O224" t="str">
        <f>IF(Table1_1[[#This Row],[Date]] &lt; DATE(2025,1,1),"Before","During")</f>
        <v>Before</v>
      </c>
    </row>
    <row r="225" spans="1:15">
      <c r="A225" s="30" t="s">
        <v>332</v>
      </c>
      <c r="B225" s="30" t="s">
        <v>23</v>
      </c>
      <c r="C225" s="44">
        <v>45612</v>
      </c>
      <c r="D225" s="30" t="s">
        <v>15</v>
      </c>
      <c r="E225" s="30" t="s">
        <v>19</v>
      </c>
      <c r="F225" s="30">
        <v>2901</v>
      </c>
      <c r="G225" s="30">
        <v>108</v>
      </c>
      <c r="H225" s="30">
        <v>86</v>
      </c>
      <c r="I225" s="30">
        <v>51777</v>
      </c>
      <c r="J225" s="30">
        <v>23773</v>
      </c>
      <c r="K225" s="30">
        <v>160</v>
      </c>
      <c r="L225" s="30" t="s">
        <v>41</v>
      </c>
      <c r="M225" s="30" t="s">
        <v>21</v>
      </c>
      <c r="N225" s="39">
        <f>(Table1_1[[#This Row],[Likes]]+Table1_1[[#This Row],[Shares]]+Table1_1[[#This Row],[Comments]])/Table1_1[[#This Row],[Impressions]]</f>
        <v>5.9775576027966085E-2</v>
      </c>
      <c r="O225" t="str">
        <f>IF(Table1_1[[#This Row],[Date]] &lt; DATE(2025,1,1),"Before","During")</f>
        <v>Before</v>
      </c>
    </row>
    <row r="226" spans="1:15">
      <c r="A226" s="30" t="s">
        <v>189</v>
      </c>
      <c r="B226" s="30" t="s">
        <v>14</v>
      </c>
      <c r="C226" s="44">
        <v>45615</v>
      </c>
      <c r="D226" s="30" t="s">
        <v>15</v>
      </c>
      <c r="E226" s="30" t="s">
        <v>32</v>
      </c>
      <c r="F226" s="30">
        <v>2525</v>
      </c>
      <c r="G226" s="30">
        <v>272</v>
      </c>
      <c r="H226" s="30">
        <v>294</v>
      </c>
      <c r="I226" s="30">
        <v>51875</v>
      </c>
      <c r="J226" s="30">
        <v>24732</v>
      </c>
      <c r="K226" s="30">
        <v>92</v>
      </c>
      <c r="L226" s="30" t="s">
        <v>20</v>
      </c>
      <c r="M226" s="30" t="s">
        <v>21</v>
      </c>
      <c r="N226" s="39">
        <f>(Table1_1[[#This Row],[Likes]]+Table1_1[[#This Row],[Shares]]+Table1_1[[#This Row],[Comments]])/Table1_1[[#This Row],[Impressions]]</f>
        <v>5.9585542168674697E-2</v>
      </c>
      <c r="O226" t="str">
        <f>IF(Table1_1[[#This Row],[Date]] &lt; DATE(2025,1,1),"Before","During")</f>
        <v>Before</v>
      </c>
    </row>
    <row r="227" spans="1:15">
      <c r="A227" s="30" t="s">
        <v>117</v>
      </c>
      <c r="B227" s="30" t="s">
        <v>14</v>
      </c>
      <c r="C227" s="44">
        <v>45530</v>
      </c>
      <c r="D227" s="30" t="s">
        <v>15</v>
      </c>
      <c r="E227" s="30" t="s">
        <v>47</v>
      </c>
      <c r="F227" s="30">
        <v>2102</v>
      </c>
      <c r="G227" s="30">
        <v>181</v>
      </c>
      <c r="H227" s="30">
        <v>306</v>
      </c>
      <c r="I227" s="30">
        <v>43650</v>
      </c>
      <c r="J227" s="30">
        <v>50079</v>
      </c>
      <c r="K227" s="30">
        <v>182</v>
      </c>
      <c r="L227" s="30" t="s">
        <v>20</v>
      </c>
      <c r="M227" s="30" t="s">
        <v>21</v>
      </c>
      <c r="N227" s="39">
        <f>(Table1_1[[#This Row],[Likes]]+Table1_1[[#This Row],[Shares]]+Table1_1[[#This Row],[Comments]])/Table1_1[[#This Row],[Impressions]]</f>
        <v>5.9312714776632303E-2</v>
      </c>
      <c r="O227" t="str">
        <f>IF(Table1_1[[#This Row],[Date]] &lt; DATE(2025,1,1),"Before","During")</f>
        <v>Before</v>
      </c>
    </row>
    <row r="228" spans="1:15">
      <c r="A228" s="30" t="s">
        <v>158</v>
      </c>
      <c r="B228" s="30" t="s">
        <v>29</v>
      </c>
      <c r="C228" s="44">
        <v>45424</v>
      </c>
      <c r="D228" s="30" t="s">
        <v>15</v>
      </c>
      <c r="E228" s="30" t="s">
        <v>45</v>
      </c>
      <c r="F228" s="30">
        <v>2911</v>
      </c>
      <c r="G228" s="30">
        <v>467</v>
      </c>
      <c r="H228" s="30">
        <v>94</v>
      </c>
      <c r="I228" s="30">
        <v>59083</v>
      </c>
      <c r="J228" s="30">
        <v>49762</v>
      </c>
      <c r="K228" s="30">
        <v>236</v>
      </c>
      <c r="L228" s="30" t="s">
        <v>20</v>
      </c>
      <c r="M228" s="30" t="s">
        <v>21</v>
      </c>
      <c r="N228" s="39">
        <f>(Table1_1[[#This Row],[Likes]]+Table1_1[[#This Row],[Shares]]+Table1_1[[#This Row],[Comments]])/Table1_1[[#This Row],[Impressions]]</f>
        <v>5.8764788517847777E-2</v>
      </c>
      <c r="O228" t="str">
        <f>IF(Table1_1[[#This Row],[Date]] &lt; DATE(2025,1,1),"Before","During")</f>
        <v>Before</v>
      </c>
    </row>
    <row r="229" spans="1:15">
      <c r="A229" s="30" t="s">
        <v>88</v>
      </c>
      <c r="B229" s="30" t="s">
        <v>23</v>
      </c>
      <c r="C229" s="44">
        <v>45516</v>
      </c>
      <c r="D229" s="30" t="s">
        <v>24</v>
      </c>
      <c r="E229" s="30" t="s">
        <v>32</v>
      </c>
      <c r="F229" s="30">
        <v>2842</v>
      </c>
      <c r="G229" s="30">
        <v>213</v>
      </c>
      <c r="H229" s="30">
        <v>331</v>
      </c>
      <c r="I229" s="30">
        <v>57660</v>
      </c>
      <c r="J229" s="30">
        <v>68606</v>
      </c>
      <c r="K229" s="30">
        <v>87</v>
      </c>
      <c r="L229" s="30" t="s">
        <v>368</v>
      </c>
      <c r="M229" s="30" t="s">
        <v>17</v>
      </c>
      <c r="N229" s="39">
        <f>(Table1_1[[#This Row],[Likes]]+Table1_1[[#This Row],[Shares]]+Table1_1[[#This Row],[Comments]])/Table1_1[[#This Row],[Impressions]]</f>
        <v>5.8723551855705859E-2</v>
      </c>
      <c r="O229" t="str">
        <f>IF(Table1_1[[#This Row],[Date]] &lt; DATE(2025,1,1),"Before","During")</f>
        <v>Before</v>
      </c>
    </row>
    <row r="230" spans="1:15">
      <c r="A230" s="30" t="s">
        <v>326</v>
      </c>
      <c r="B230" s="30" t="s">
        <v>14</v>
      </c>
      <c r="C230" s="44">
        <v>45472</v>
      </c>
      <c r="D230" s="30" t="s">
        <v>15</v>
      </c>
      <c r="E230" s="30" t="s">
        <v>47</v>
      </c>
      <c r="F230" s="30">
        <v>2088</v>
      </c>
      <c r="G230" s="30">
        <v>490</v>
      </c>
      <c r="H230" s="30">
        <v>124</v>
      </c>
      <c r="I230" s="30">
        <v>46544</v>
      </c>
      <c r="J230" s="30">
        <v>69346</v>
      </c>
      <c r="K230" s="30">
        <v>178</v>
      </c>
      <c r="L230" s="30" t="s">
        <v>41</v>
      </c>
      <c r="M230" s="30" t="s">
        <v>17</v>
      </c>
      <c r="N230" s="39">
        <f>(Table1_1[[#This Row],[Likes]]+Table1_1[[#This Row],[Shares]]+Table1_1[[#This Row],[Comments]])/Table1_1[[#This Row],[Impressions]]</f>
        <v>5.8052595393606049E-2</v>
      </c>
      <c r="O230" t="str">
        <f>IF(Table1_1[[#This Row],[Date]] &lt; DATE(2025,1,1),"Before","During")</f>
        <v>Before</v>
      </c>
    </row>
    <row r="231" spans="1:15">
      <c r="A231" s="30" t="s">
        <v>154</v>
      </c>
      <c r="B231" s="30" t="s">
        <v>23</v>
      </c>
      <c r="C231" s="44">
        <v>45806</v>
      </c>
      <c r="D231" s="30" t="s">
        <v>24</v>
      </c>
      <c r="E231" s="30" t="s">
        <v>30</v>
      </c>
      <c r="F231" s="30">
        <v>2134</v>
      </c>
      <c r="G231" s="30">
        <v>322</v>
      </c>
      <c r="H231" s="30">
        <v>114</v>
      </c>
      <c r="I231" s="30">
        <v>44338</v>
      </c>
      <c r="J231" s="30">
        <v>52165</v>
      </c>
      <c r="K231" s="30">
        <v>176</v>
      </c>
      <c r="L231" s="30" t="s">
        <v>368</v>
      </c>
      <c r="M231" s="30" t="s">
        <v>17</v>
      </c>
      <c r="N231" s="39">
        <f>(Table1_1[[#This Row],[Likes]]+Table1_1[[#This Row],[Shares]]+Table1_1[[#This Row],[Comments]])/Table1_1[[#This Row],[Impressions]]</f>
        <v>5.7963823356939871E-2</v>
      </c>
      <c r="O231" t="str">
        <f>IF(Table1_1[[#This Row],[Date]] &lt; DATE(2025,1,1),"Before","During")</f>
        <v>During</v>
      </c>
    </row>
    <row r="232" spans="1:15">
      <c r="A232" s="30" t="s">
        <v>311</v>
      </c>
      <c r="B232" s="30" t="s">
        <v>23</v>
      </c>
      <c r="C232" s="44">
        <v>45720</v>
      </c>
      <c r="D232" s="30" t="s">
        <v>15</v>
      </c>
      <c r="E232" s="30" t="s">
        <v>16</v>
      </c>
      <c r="F232" s="30">
        <v>2177</v>
      </c>
      <c r="G232" s="30">
        <v>258</v>
      </c>
      <c r="H232" s="30">
        <v>292</v>
      </c>
      <c r="I232" s="30">
        <v>47276</v>
      </c>
      <c r="J232" s="30">
        <v>51324</v>
      </c>
      <c r="K232" s="30">
        <v>143</v>
      </c>
      <c r="L232" s="30" t="s">
        <v>38</v>
      </c>
      <c r="M232" s="30" t="s">
        <v>17</v>
      </c>
      <c r="N232" s="39">
        <f>(Table1_1[[#This Row],[Likes]]+Table1_1[[#This Row],[Shares]]+Table1_1[[#This Row],[Comments]])/Table1_1[[#This Row],[Impressions]]</f>
        <v>5.7682545054573146E-2</v>
      </c>
      <c r="O232" t="str">
        <f>IF(Table1_1[[#This Row],[Date]] &lt; DATE(2025,1,1),"Before","During")</f>
        <v>During</v>
      </c>
    </row>
    <row r="233" spans="1:15">
      <c r="A233" s="30" t="s">
        <v>290</v>
      </c>
      <c r="B233" s="30" t="s">
        <v>23</v>
      </c>
      <c r="C233" s="44">
        <v>45385</v>
      </c>
      <c r="D233" s="30" t="s">
        <v>24</v>
      </c>
      <c r="E233" s="30" t="s">
        <v>37</v>
      </c>
      <c r="F233" s="30">
        <v>2291</v>
      </c>
      <c r="G233" s="30">
        <v>146</v>
      </c>
      <c r="H233" s="30">
        <v>399</v>
      </c>
      <c r="I233" s="30">
        <v>49319</v>
      </c>
      <c r="J233" s="30">
        <v>28056</v>
      </c>
      <c r="K233" s="30">
        <v>90</v>
      </c>
      <c r="L233" s="30" t="s">
        <v>20</v>
      </c>
      <c r="M233" s="30" t="s">
        <v>17</v>
      </c>
      <c r="N233" s="39">
        <f>(Table1_1[[#This Row],[Likes]]+Table1_1[[#This Row],[Shares]]+Table1_1[[#This Row],[Comments]])/Table1_1[[#This Row],[Impressions]]</f>
        <v>5.7503193495407452E-2</v>
      </c>
      <c r="O233" t="str">
        <f>IF(Table1_1[[#This Row],[Date]] &lt; DATE(2025,1,1),"Before","During")</f>
        <v>Before</v>
      </c>
    </row>
    <row r="234" spans="1:15">
      <c r="A234" s="30" t="s">
        <v>210</v>
      </c>
      <c r="B234" s="30" t="s">
        <v>23</v>
      </c>
      <c r="C234" s="44">
        <v>45748</v>
      </c>
      <c r="D234" s="30" t="s">
        <v>24</v>
      </c>
      <c r="E234" s="30" t="s">
        <v>30</v>
      </c>
      <c r="F234" s="30">
        <v>2665</v>
      </c>
      <c r="G234" s="30">
        <v>143</v>
      </c>
      <c r="H234" s="30">
        <v>315</v>
      </c>
      <c r="I234" s="30">
        <v>54808</v>
      </c>
      <c r="J234" s="30">
        <v>29818</v>
      </c>
      <c r="K234" s="30">
        <v>98</v>
      </c>
      <c r="L234" s="30" t="s">
        <v>20</v>
      </c>
      <c r="M234" s="30" t="s">
        <v>17</v>
      </c>
      <c r="N234" s="39">
        <f>(Table1_1[[#This Row],[Likes]]+Table1_1[[#This Row],[Shares]]+Table1_1[[#This Row],[Comments]])/Table1_1[[#This Row],[Impressions]]</f>
        <v>5.6980732739746021E-2</v>
      </c>
      <c r="O234" t="str">
        <f>IF(Table1_1[[#This Row],[Date]] &lt; DATE(2025,1,1),"Before","During")</f>
        <v>During</v>
      </c>
    </row>
    <row r="235" spans="1:15">
      <c r="A235" s="30" t="s">
        <v>229</v>
      </c>
      <c r="B235" s="30" t="s">
        <v>23</v>
      </c>
      <c r="C235" s="44">
        <v>45422</v>
      </c>
      <c r="D235" s="30" t="s">
        <v>24</v>
      </c>
      <c r="E235" s="30" t="s">
        <v>19</v>
      </c>
      <c r="F235" s="30">
        <v>2784</v>
      </c>
      <c r="G235" s="30">
        <v>111</v>
      </c>
      <c r="H235" s="30">
        <v>399</v>
      </c>
      <c r="I235" s="30">
        <v>58366</v>
      </c>
      <c r="J235" s="30">
        <v>69512</v>
      </c>
      <c r="K235" s="30">
        <v>269</v>
      </c>
      <c r="L235" s="30" t="s">
        <v>368</v>
      </c>
      <c r="M235" s="30" t="s">
        <v>17</v>
      </c>
      <c r="N235" s="39">
        <f>(Table1_1[[#This Row],[Likes]]+Table1_1[[#This Row],[Shares]]+Table1_1[[#This Row],[Comments]])/Table1_1[[#This Row],[Impressions]]</f>
        <v>5.6436966727204191E-2</v>
      </c>
      <c r="O235" t="str">
        <f>IF(Table1_1[[#This Row],[Date]] &lt; DATE(2025,1,1),"Before","During")</f>
        <v>Before</v>
      </c>
    </row>
    <row r="236" spans="1:15">
      <c r="A236" s="30" t="s">
        <v>334</v>
      </c>
      <c r="B236" s="30" t="s">
        <v>23</v>
      </c>
      <c r="C236" s="44">
        <v>45303</v>
      </c>
      <c r="D236" s="30" t="s">
        <v>24</v>
      </c>
      <c r="E236" s="30" t="s">
        <v>27</v>
      </c>
      <c r="F236" s="30">
        <v>2227</v>
      </c>
      <c r="G236" s="30">
        <v>494</v>
      </c>
      <c r="H236" s="30">
        <v>161</v>
      </c>
      <c r="I236" s="30">
        <v>51651</v>
      </c>
      <c r="J236" s="30">
        <v>68074</v>
      </c>
      <c r="K236" s="30">
        <v>240</v>
      </c>
      <c r="L236" s="30" t="s">
        <v>20</v>
      </c>
      <c r="M236" s="30" t="s">
        <v>17</v>
      </c>
      <c r="N236" s="39">
        <f>(Table1_1[[#This Row],[Likes]]+Table1_1[[#This Row],[Shares]]+Table1_1[[#This Row],[Comments]])/Table1_1[[#This Row],[Impressions]]</f>
        <v>5.5797564422760453E-2</v>
      </c>
      <c r="O236" t="str">
        <f>IF(Table1_1[[#This Row],[Date]] &lt; DATE(2025,1,1),"Before","During")</f>
        <v>Before</v>
      </c>
    </row>
    <row r="237" spans="1:15">
      <c r="A237" s="30" t="s">
        <v>299</v>
      </c>
      <c r="B237" s="30" t="s">
        <v>29</v>
      </c>
      <c r="C237" s="44">
        <v>45808</v>
      </c>
      <c r="D237" s="30" t="s">
        <v>53</v>
      </c>
      <c r="E237" s="30" t="s">
        <v>34</v>
      </c>
      <c r="F237" s="30">
        <v>2162</v>
      </c>
      <c r="G237" s="30">
        <v>318</v>
      </c>
      <c r="H237" s="30">
        <v>83</v>
      </c>
      <c r="I237" s="30">
        <v>46719</v>
      </c>
      <c r="J237" s="30">
        <v>20482</v>
      </c>
      <c r="K237" s="30">
        <v>185</v>
      </c>
      <c r="L237" s="30" t="s">
        <v>20</v>
      </c>
      <c r="M237" s="30" t="s">
        <v>54</v>
      </c>
      <c r="N237" s="39">
        <f>(Table1_1[[#This Row],[Likes]]+Table1_1[[#This Row],[Shares]]+Table1_1[[#This Row],[Comments]])/Table1_1[[#This Row],[Impressions]]</f>
        <v>5.4859907104176028E-2</v>
      </c>
      <c r="O237" t="str">
        <f>IF(Table1_1[[#This Row],[Date]] &lt; DATE(2025,1,1),"Before","During")</f>
        <v>During</v>
      </c>
    </row>
    <row r="238" spans="1:15">
      <c r="A238" s="30" t="s">
        <v>309</v>
      </c>
      <c r="B238" s="30" t="s">
        <v>14</v>
      </c>
      <c r="C238" s="44">
        <v>45573</v>
      </c>
      <c r="D238" s="30" t="s">
        <v>15</v>
      </c>
      <c r="E238" s="30" t="s">
        <v>19</v>
      </c>
      <c r="F238" s="30">
        <v>2110</v>
      </c>
      <c r="G238" s="30">
        <v>384</v>
      </c>
      <c r="H238" s="30">
        <v>236</v>
      </c>
      <c r="I238" s="30">
        <v>49965</v>
      </c>
      <c r="J238" s="30">
        <v>61555</v>
      </c>
      <c r="K238" s="30">
        <v>195</v>
      </c>
      <c r="L238" s="30" t="s">
        <v>20</v>
      </c>
      <c r="M238" s="30" t="s">
        <v>21</v>
      </c>
      <c r="N238" s="39">
        <f>(Table1_1[[#This Row],[Likes]]+Table1_1[[#This Row],[Shares]]+Table1_1[[#This Row],[Comments]])/Table1_1[[#This Row],[Impressions]]</f>
        <v>5.4638246772740921E-2</v>
      </c>
      <c r="O238" t="str">
        <f>IF(Table1_1[[#This Row],[Date]] &lt; DATE(2025,1,1),"Before","During")</f>
        <v>Before</v>
      </c>
    </row>
    <row r="239" spans="1:15">
      <c r="A239" s="30" t="s">
        <v>166</v>
      </c>
      <c r="B239" s="30" t="s">
        <v>23</v>
      </c>
      <c r="C239" s="44">
        <v>45736</v>
      </c>
      <c r="D239" s="30" t="s">
        <v>15</v>
      </c>
      <c r="E239" s="30" t="s">
        <v>47</v>
      </c>
      <c r="F239" s="30">
        <v>1564</v>
      </c>
      <c r="G239" s="30">
        <v>362</v>
      </c>
      <c r="H239" s="30">
        <v>371</v>
      </c>
      <c r="I239" s="30">
        <v>42075</v>
      </c>
      <c r="J239" s="30">
        <v>66659</v>
      </c>
      <c r="K239" s="30">
        <v>205</v>
      </c>
      <c r="L239" s="30" t="s">
        <v>41</v>
      </c>
      <c r="M239" s="30" t="s">
        <v>21</v>
      </c>
      <c r="N239" s="39">
        <f>(Table1_1[[#This Row],[Likes]]+Table1_1[[#This Row],[Shares]]+Table1_1[[#This Row],[Comments]])/Table1_1[[#This Row],[Impressions]]</f>
        <v>5.4592988710635768E-2</v>
      </c>
      <c r="O239" t="str">
        <f>IF(Table1_1[[#This Row],[Date]] &lt; DATE(2025,1,1),"Before","During")</f>
        <v>During</v>
      </c>
    </row>
    <row r="240" spans="1:15">
      <c r="A240" s="30" t="s">
        <v>317</v>
      </c>
      <c r="B240" s="30" t="s">
        <v>23</v>
      </c>
      <c r="C240" s="44">
        <v>45343</v>
      </c>
      <c r="D240" s="30" t="s">
        <v>24</v>
      </c>
      <c r="E240" s="30" t="s">
        <v>34</v>
      </c>
      <c r="F240" s="30">
        <v>2604</v>
      </c>
      <c r="G240" s="30">
        <v>439</v>
      </c>
      <c r="H240" s="30">
        <v>148</v>
      </c>
      <c r="I240" s="30">
        <v>58468</v>
      </c>
      <c r="J240" s="30">
        <v>39629</v>
      </c>
      <c r="K240" s="30">
        <v>163</v>
      </c>
      <c r="L240" s="30" t="s">
        <v>368</v>
      </c>
      <c r="M240" s="30" t="s">
        <v>17</v>
      </c>
      <c r="N240" s="39">
        <f>(Table1_1[[#This Row],[Likes]]+Table1_1[[#This Row],[Shares]]+Table1_1[[#This Row],[Comments]])/Table1_1[[#This Row],[Impressions]]</f>
        <v>5.4576862557296296E-2</v>
      </c>
      <c r="O240" t="str">
        <f>IF(Table1_1[[#This Row],[Date]] &lt; DATE(2025,1,1),"Before","During")</f>
        <v>Before</v>
      </c>
    </row>
    <row r="241" spans="1:15">
      <c r="A241" s="30" t="s">
        <v>298</v>
      </c>
      <c r="B241" s="30" t="s">
        <v>29</v>
      </c>
      <c r="C241" s="44">
        <v>45378</v>
      </c>
      <c r="D241" s="30" t="s">
        <v>15</v>
      </c>
      <c r="E241" s="30" t="s">
        <v>30</v>
      </c>
      <c r="F241" s="30">
        <v>2399</v>
      </c>
      <c r="G241" s="30">
        <v>191</v>
      </c>
      <c r="H241" s="30">
        <v>221</v>
      </c>
      <c r="I241" s="30">
        <v>51603</v>
      </c>
      <c r="J241" s="30">
        <v>40033</v>
      </c>
      <c r="K241" s="30">
        <v>173</v>
      </c>
      <c r="L241" s="30" t="s">
        <v>20</v>
      </c>
      <c r="M241" s="30" t="s">
        <v>21</v>
      </c>
      <c r="N241" s="39">
        <f>(Table1_1[[#This Row],[Likes]]+Table1_1[[#This Row],[Shares]]+Table1_1[[#This Row],[Comments]])/Table1_1[[#This Row],[Impressions]]</f>
        <v>5.4473577117609438E-2</v>
      </c>
      <c r="O241" t="str">
        <f>IF(Table1_1[[#This Row],[Date]] &lt; DATE(2025,1,1),"Before","During")</f>
        <v>Before</v>
      </c>
    </row>
    <row r="242" spans="1:15">
      <c r="A242" s="30" t="s">
        <v>42</v>
      </c>
      <c r="B242" s="30" t="s">
        <v>14</v>
      </c>
      <c r="C242" s="44">
        <v>45426</v>
      </c>
      <c r="D242" s="30" t="s">
        <v>15</v>
      </c>
      <c r="E242" s="30" t="s">
        <v>16</v>
      </c>
      <c r="F242" s="30">
        <v>1485</v>
      </c>
      <c r="G242" s="30">
        <v>353</v>
      </c>
      <c r="H242" s="30">
        <v>244</v>
      </c>
      <c r="I242" s="30">
        <v>38419</v>
      </c>
      <c r="J242" s="30">
        <v>38556</v>
      </c>
      <c r="K242" s="30">
        <v>86</v>
      </c>
      <c r="L242" s="30" t="s">
        <v>41</v>
      </c>
      <c r="M242" s="30" t="s">
        <v>17</v>
      </c>
      <c r="N242" s="39">
        <f>(Table1_1[[#This Row],[Likes]]+Table1_1[[#This Row],[Shares]]+Table1_1[[#This Row],[Comments]])/Table1_1[[#This Row],[Impressions]]</f>
        <v>5.4191936281527367E-2</v>
      </c>
      <c r="O242" t="str">
        <f>IF(Table1_1[[#This Row],[Date]] &lt; DATE(2025,1,1),"Before","During")</f>
        <v>Before</v>
      </c>
    </row>
    <row r="243" spans="1:15">
      <c r="A243" s="30" t="s">
        <v>273</v>
      </c>
      <c r="B243" s="30" t="s">
        <v>14</v>
      </c>
      <c r="C243" s="44">
        <v>45823</v>
      </c>
      <c r="D243" s="30" t="s">
        <v>15</v>
      </c>
      <c r="E243" s="30" t="s">
        <v>19</v>
      </c>
      <c r="F243" s="30">
        <v>2478</v>
      </c>
      <c r="G243" s="30">
        <v>427</v>
      </c>
      <c r="H243" s="30">
        <v>242</v>
      </c>
      <c r="I243" s="30">
        <v>59272</v>
      </c>
      <c r="J243" s="30">
        <v>37833</v>
      </c>
      <c r="K243" s="30">
        <v>214</v>
      </c>
      <c r="L243" s="30" t="s">
        <v>41</v>
      </c>
      <c r="M243" s="30" t="s">
        <v>17</v>
      </c>
      <c r="N243" s="39">
        <f>(Table1_1[[#This Row],[Likes]]+Table1_1[[#This Row],[Shares]]+Table1_1[[#This Row],[Comments]])/Table1_1[[#This Row],[Impressions]]</f>
        <v>5.3094209744904843E-2</v>
      </c>
      <c r="O243" t="str">
        <f>IF(Table1_1[[#This Row],[Date]] &lt; DATE(2025,1,1),"Before","During")</f>
        <v>During</v>
      </c>
    </row>
    <row r="244" spans="1:15">
      <c r="A244" s="30" t="s">
        <v>147</v>
      </c>
      <c r="B244" s="30" t="s">
        <v>14</v>
      </c>
      <c r="C244" s="44">
        <v>45704</v>
      </c>
      <c r="D244" s="30" t="s">
        <v>15</v>
      </c>
      <c r="E244" s="30" t="s">
        <v>47</v>
      </c>
      <c r="F244" s="30">
        <v>1333</v>
      </c>
      <c r="G244" s="30">
        <v>286</v>
      </c>
      <c r="H244" s="30">
        <v>298</v>
      </c>
      <c r="I244" s="30">
        <v>36174</v>
      </c>
      <c r="J244" s="30">
        <v>34517</v>
      </c>
      <c r="K244" s="30">
        <v>170</v>
      </c>
      <c r="L244" s="30" t="s">
        <v>41</v>
      </c>
      <c r="M244" s="30" t="s">
        <v>17</v>
      </c>
      <c r="N244" s="39">
        <f>(Table1_1[[#This Row],[Likes]]+Table1_1[[#This Row],[Shares]]+Table1_1[[#This Row],[Comments]])/Table1_1[[#This Row],[Impressions]]</f>
        <v>5.2993862995521647E-2</v>
      </c>
      <c r="O244" t="str">
        <f>IF(Table1_1[[#This Row],[Date]] &lt; DATE(2025,1,1),"Before","During")</f>
        <v>During</v>
      </c>
    </row>
    <row r="245" spans="1:15">
      <c r="A245" s="30" t="s">
        <v>260</v>
      </c>
      <c r="B245" s="30" t="s">
        <v>29</v>
      </c>
      <c r="C245" s="44">
        <v>45323</v>
      </c>
      <c r="D245" s="30" t="s">
        <v>15</v>
      </c>
      <c r="E245" s="30" t="s">
        <v>27</v>
      </c>
      <c r="F245" s="30">
        <v>1432</v>
      </c>
      <c r="G245" s="30">
        <v>437</v>
      </c>
      <c r="H245" s="30">
        <v>267</v>
      </c>
      <c r="I245" s="30">
        <v>40634</v>
      </c>
      <c r="J245" s="30">
        <v>54511</v>
      </c>
      <c r="K245" s="30">
        <v>197</v>
      </c>
      <c r="L245" s="30" t="s">
        <v>20</v>
      </c>
      <c r="M245" s="30" t="s">
        <v>21</v>
      </c>
      <c r="N245" s="39">
        <f>(Table1_1[[#This Row],[Likes]]+Table1_1[[#This Row],[Shares]]+Table1_1[[#This Row],[Comments]])/Table1_1[[#This Row],[Impressions]]</f>
        <v>5.2566815966924252E-2</v>
      </c>
      <c r="O245" t="str">
        <f>IF(Table1_1[[#This Row],[Date]] &lt; DATE(2025,1,1),"Before","During")</f>
        <v>Before</v>
      </c>
    </row>
    <row r="246" spans="1:15">
      <c r="A246" s="30" t="s">
        <v>261</v>
      </c>
      <c r="B246" s="30" t="s">
        <v>23</v>
      </c>
      <c r="C246" s="44">
        <v>45308</v>
      </c>
      <c r="D246" s="30" t="s">
        <v>24</v>
      </c>
      <c r="E246" s="30" t="s">
        <v>25</v>
      </c>
      <c r="F246" s="30">
        <v>2174</v>
      </c>
      <c r="G246" s="30">
        <v>499</v>
      </c>
      <c r="H246" s="30">
        <v>212</v>
      </c>
      <c r="I246" s="30">
        <v>54938</v>
      </c>
      <c r="J246" s="30">
        <v>27190</v>
      </c>
      <c r="K246" s="30">
        <v>265</v>
      </c>
      <c r="L246" s="30" t="s">
        <v>368</v>
      </c>
      <c r="M246" s="30" t="s">
        <v>17</v>
      </c>
      <c r="N246" s="39">
        <f>(Table1_1[[#This Row],[Likes]]+Table1_1[[#This Row],[Shares]]+Table1_1[[#This Row],[Comments]])/Table1_1[[#This Row],[Impressions]]</f>
        <v>5.2513742764570971E-2</v>
      </c>
      <c r="O246" t="str">
        <f>IF(Table1_1[[#This Row],[Date]] &lt; DATE(2025,1,1),"Before","During")</f>
        <v>Before</v>
      </c>
    </row>
    <row r="247" spans="1:15">
      <c r="A247" s="30" t="s">
        <v>291</v>
      </c>
      <c r="B247" s="30" t="s">
        <v>23</v>
      </c>
      <c r="C247" s="44">
        <v>45481</v>
      </c>
      <c r="D247" s="30" t="s">
        <v>24</v>
      </c>
      <c r="E247" s="30" t="s">
        <v>27</v>
      </c>
      <c r="F247" s="30">
        <v>2304</v>
      </c>
      <c r="G247" s="30">
        <v>289</v>
      </c>
      <c r="H247" s="30">
        <v>161</v>
      </c>
      <c r="I247" s="30">
        <v>52645</v>
      </c>
      <c r="J247" s="30">
        <v>66262</v>
      </c>
      <c r="K247" s="30">
        <v>146</v>
      </c>
      <c r="L247" s="30" t="s">
        <v>368</v>
      </c>
      <c r="M247" s="30" t="s">
        <v>17</v>
      </c>
      <c r="N247" s="39">
        <f>(Table1_1[[#This Row],[Likes]]+Table1_1[[#This Row],[Shares]]+Table1_1[[#This Row],[Comments]])/Table1_1[[#This Row],[Impressions]]</f>
        <v>5.2312660271630736E-2</v>
      </c>
      <c r="O247" t="str">
        <f>IF(Table1_1[[#This Row],[Date]] &lt; DATE(2025,1,1),"Before","During")</f>
        <v>Before</v>
      </c>
    </row>
    <row r="248" spans="1:15">
      <c r="A248" s="30" t="s">
        <v>108</v>
      </c>
      <c r="B248" s="30" t="s">
        <v>29</v>
      </c>
      <c r="C248" s="44">
        <v>45783</v>
      </c>
      <c r="D248" s="30" t="s">
        <v>53</v>
      </c>
      <c r="E248" s="30" t="s">
        <v>16</v>
      </c>
      <c r="F248" s="30">
        <v>1085</v>
      </c>
      <c r="G248" s="30">
        <v>496</v>
      </c>
      <c r="H248" s="30">
        <v>320</v>
      </c>
      <c r="I248" s="30">
        <v>36528</v>
      </c>
      <c r="J248" s="30">
        <v>38599</v>
      </c>
      <c r="K248" s="30">
        <v>270</v>
      </c>
      <c r="L248" s="30" t="s">
        <v>20</v>
      </c>
      <c r="M248" s="30" t="s">
        <v>54</v>
      </c>
      <c r="N248" s="39">
        <f>(Table1_1[[#This Row],[Likes]]+Table1_1[[#This Row],[Shares]]+Table1_1[[#This Row],[Comments]])/Table1_1[[#This Row],[Impressions]]</f>
        <v>5.2042268944371438E-2</v>
      </c>
      <c r="O248" t="str">
        <f>IF(Table1_1[[#This Row],[Date]] &lt; DATE(2025,1,1),"Before","During")</f>
        <v>During</v>
      </c>
    </row>
    <row r="249" spans="1:15">
      <c r="A249" s="30" t="s">
        <v>251</v>
      </c>
      <c r="B249" s="30" t="s">
        <v>23</v>
      </c>
      <c r="C249" s="44">
        <v>45669</v>
      </c>
      <c r="D249" s="30" t="s">
        <v>15</v>
      </c>
      <c r="E249" s="30" t="s">
        <v>30</v>
      </c>
      <c r="F249" s="30">
        <v>1765</v>
      </c>
      <c r="G249" s="30">
        <v>285</v>
      </c>
      <c r="H249" s="30">
        <v>100</v>
      </c>
      <c r="I249" s="30">
        <v>41313</v>
      </c>
      <c r="J249" s="30">
        <v>56575</v>
      </c>
      <c r="K249" s="30">
        <v>174</v>
      </c>
      <c r="L249" s="30" t="s">
        <v>41</v>
      </c>
      <c r="M249" s="30" t="s">
        <v>21</v>
      </c>
      <c r="N249" s="39">
        <f>(Table1_1[[#This Row],[Likes]]+Table1_1[[#This Row],[Shares]]+Table1_1[[#This Row],[Comments]])/Table1_1[[#This Row],[Impressions]]</f>
        <v>5.2041730205988429E-2</v>
      </c>
      <c r="O249" t="str">
        <f>IF(Table1_1[[#This Row],[Date]] &lt; DATE(2025,1,1),"Before","During")</f>
        <v>During</v>
      </c>
    </row>
    <row r="250" spans="1:15">
      <c r="A250" s="30" t="s">
        <v>307</v>
      </c>
      <c r="B250" s="30" t="s">
        <v>23</v>
      </c>
      <c r="C250" s="44">
        <v>45603</v>
      </c>
      <c r="D250" s="30" t="s">
        <v>15</v>
      </c>
      <c r="E250" s="30" t="s">
        <v>19</v>
      </c>
      <c r="F250" s="30">
        <v>2229</v>
      </c>
      <c r="G250" s="30">
        <v>395</v>
      </c>
      <c r="H250" s="30">
        <v>328</v>
      </c>
      <c r="I250" s="30">
        <v>56921</v>
      </c>
      <c r="J250" s="30">
        <v>37176</v>
      </c>
      <c r="K250" s="30">
        <v>126</v>
      </c>
      <c r="L250" s="30" t="s">
        <v>41</v>
      </c>
      <c r="M250" s="30" t="s">
        <v>21</v>
      </c>
      <c r="N250" s="39">
        <f>(Table1_1[[#This Row],[Likes]]+Table1_1[[#This Row],[Shares]]+Table1_1[[#This Row],[Comments]])/Table1_1[[#This Row],[Impressions]]</f>
        <v>5.1861351697967357E-2</v>
      </c>
      <c r="O250" t="str">
        <f>IF(Table1_1[[#This Row],[Date]] &lt; DATE(2025,1,1),"Before","During")</f>
        <v>Before</v>
      </c>
    </row>
    <row r="251" spans="1:15">
      <c r="A251" s="30" t="s">
        <v>231</v>
      </c>
      <c r="B251" s="30" t="s">
        <v>14</v>
      </c>
      <c r="C251" s="44">
        <v>45669</v>
      </c>
      <c r="D251" s="30" t="s">
        <v>15</v>
      </c>
      <c r="E251" s="30" t="s">
        <v>45</v>
      </c>
      <c r="F251" s="30">
        <v>1771</v>
      </c>
      <c r="G251" s="30">
        <v>487</v>
      </c>
      <c r="H251" s="30">
        <v>272</v>
      </c>
      <c r="I251" s="30">
        <v>48810</v>
      </c>
      <c r="J251" s="30">
        <v>48084</v>
      </c>
      <c r="K251" s="30">
        <v>272</v>
      </c>
      <c r="L251" s="30" t="s">
        <v>41</v>
      </c>
      <c r="M251" s="30" t="s">
        <v>17</v>
      </c>
      <c r="N251" s="39">
        <f>(Table1_1[[#This Row],[Likes]]+Table1_1[[#This Row],[Shares]]+Table1_1[[#This Row],[Comments]])/Table1_1[[#This Row],[Impressions]]</f>
        <v>5.1833640647408315E-2</v>
      </c>
      <c r="O251" t="str">
        <f>IF(Table1_1[[#This Row],[Date]] &lt; DATE(2025,1,1),"Before","During")</f>
        <v>During</v>
      </c>
    </row>
    <row r="252" spans="1:15">
      <c r="A252" s="30" t="s">
        <v>61</v>
      </c>
      <c r="B252" s="30" t="s">
        <v>23</v>
      </c>
      <c r="C252" s="44">
        <v>45791</v>
      </c>
      <c r="D252" s="30" t="s">
        <v>24</v>
      </c>
      <c r="E252" s="30" t="s">
        <v>45</v>
      </c>
      <c r="F252" s="30">
        <v>2707</v>
      </c>
      <c r="G252" s="30">
        <v>103</v>
      </c>
      <c r="H252" s="30">
        <v>51</v>
      </c>
      <c r="I252" s="30">
        <v>55302</v>
      </c>
      <c r="J252" s="30">
        <v>18801</v>
      </c>
      <c r="K252" s="30">
        <v>147</v>
      </c>
      <c r="L252" s="30" t="s">
        <v>20</v>
      </c>
      <c r="M252" s="30" t="s">
        <v>17</v>
      </c>
      <c r="N252" s="39">
        <f>(Table1_1[[#This Row],[Likes]]+Table1_1[[#This Row],[Shares]]+Table1_1[[#This Row],[Comments]])/Table1_1[[#This Row],[Impressions]]</f>
        <v>5.173411449857148E-2</v>
      </c>
      <c r="O252" t="str">
        <f>IF(Table1_1[[#This Row],[Date]] &lt; DATE(2025,1,1),"Before","During")</f>
        <v>During</v>
      </c>
    </row>
    <row r="253" spans="1:15">
      <c r="A253" s="30" t="s">
        <v>110</v>
      </c>
      <c r="B253" s="30" t="s">
        <v>23</v>
      </c>
      <c r="C253" s="44">
        <v>45313</v>
      </c>
      <c r="D253" s="30" t="s">
        <v>24</v>
      </c>
      <c r="E253" s="30" t="s">
        <v>45</v>
      </c>
      <c r="F253" s="30">
        <v>1554</v>
      </c>
      <c r="G253" s="30">
        <v>455</v>
      </c>
      <c r="H253" s="30">
        <v>158</v>
      </c>
      <c r="I253" s="30">
        <v>41947</v>
      </c>
      <c r="J253" s="30">
        <v>48578</v>
      </c>
      <c r="K253" s="30">
        <v>101</v>
      </c>
      <c r="L253" s="30" t="s">
        <v>41</v>
      </c>
      <c r="M253" s="30" t="s">
        <v>17</v>
      </c>
      <c r="N253" s="39">
        <f>(Table1_1[[#This Row],[Likes]]+Table1_1[[#This Row],[Shares]]+Table1_1[[#This Row],[Comments]])/Table1_1[[#This Row],[Impressions]]</f>
        <v>5.1660428636136076E-2</v>
      </c>
      <c r="O253" t="str">
        <f>IF(Table1_1[[#This Row],[Date]] &lt; DATE(2025,1,1),"Before","During")</f>
        <v>Before</v>
      </c>
    </row>
    <row r="254" spans="1:15">
      <c r="A254" s="30" t="s">
        <v>149</v>
      </c>
      <c r="B254" s="30" t="s">
        <v>23</v>
      </c>
      <c r="C254" s="44">
        <v>45489</v>
      </c>
      <c r="D254" s="30" t="s">
        <v>15</v>
      </c>
      <c r="E254" s="30" t="s">
        <v>37</v>
      </c>
      <c r="F254" s="30">
        <v>1803</v>
      </c>
      <c r="G254" s="30">
        <v>273</v>
      </c>
      <c r="H254" s="30">
        <v>287</v>
      </c>
      <c r="I254" s="30">
        <v>46176</v>
      </c>
      <c r="J254" s="30">
        <v>25488</v>
      </c>
      <c r="K254" s="30">
        <v>141</v>
      </c>
      <c r="L254" s="30" t="s">
        <v>38</v>
      </c>
      <c r="M254" s="30" t="s">
        <v>17</v>
      </c>
      <c r="N254" s="39">
        <f>(Table1_1[[#This Row],[Likes]]+Table1_1[[#This Row],[Shares]]+Table1_1[[#This Row],[Comments]])/Table1_1[[#This Row],[Impressions]]</f>
        <v>5.1173769923769923E-2</v>
      </c>
      <c r="O254" t="str">
        <f>IF(Table1_1[[#This Row],[Date]] &lt; DATE(2025,1,1),"Before","During")</f>
        <v>Before</v>
      </c>
    </row>
    <row r="255" spans="1:15">
      <c r="A255" s="30" t="s">
        <v>288</v>
      </c>
      <c r="B255" s="30" t="s">
        <v>29</v>
      </c>
      <c r="C255" s="44">
        <v>45512</v>
      </c>
      <c r="D255" s="30" t="s">
        <v>15</v>
      </c>
      <c r="E255" s="30" t="s">
        <v>45</v>
      </c>
      <c r="F255" s="30">
        <v>1994</v>
      </c>
      <c r="G255" s="30">
        <v>197</v>
      </c>
      <c r="H255" s="30">
        <v>290</v>
      </c>
      <c r="I255" s="30">
        <v>49500</v>
      </c>
      <c r="J255" s="30">
        <v>23343</v>
      </c>
      <c r="K255" s="30">
        <v>160</v>
      </c>
      <c r="L255" s="30" t="s">
        <v>20</v>
      </c>
      <c r="M255" s="30" t="s">
        <v>21</v>
      </c>
      <c r="N255" s="39">
        <f>(Table1_1[[#This Row],[Likes]]+Table1_1[[#This Row],[Shares]]+Table1_1[[#This Row],[Comments]])/Table1_1[[#This Row],[Impressions]]</f>
        <v>5.0121212121212122E-2</v>
      </c>
      <c r="O255" t="str">
        <f>IF(Table1_1[[#This Row],[Date]] &lt; DATE(2025,1,1),"Before","During")</f>
        <v>Before</v>
      </c>
    </row>
    <row r="256" spans="1:15">
      <c r="A256" s="30" t="s">
        <v>195</v>
      </c>
      <c r="B256" s="30" t="s">
        <v>29</v>
      </c>
      <c r="C256" s="44">
        <v>45330</v>
      </c>
      <c r="D256" s="30" t="s">
        <v>53</v>
      </c>
      <c r="E256" s="30" t="s">
        <v>37</v>
      </c>
      <c r="F256" s="30">
        <v>1889</v>
      </c>
      <c r="G256" s="30">
        <v>298</v>
      </c>
      <c r="H256" s="30">
        <v>122</v>
      </c>
      <c r="I256" s="30">
        <v>46225</v>
      </c>
      <c r="J256" s="30">
        <v>74305</v>
      </c>
      <c r="K256" s="30">
        <v>293</v>
      </c>
      <c r="L256" s="30" t="s">
        <v>20</v>
      </c>
      <c r="M256" s="30" t="s">
        <v>54</v>
      </c>
      <c r="N256" s="39">
        <f>(Table1_1[[#This Row],[Likes]]+Table1_1[[#This Row],[Shares]]+Table1_1[[#This Row],[Comments]])/Table1_1[[#This Row],[Impressions]]</f>
        <v>4.9951325040562468E-2</v>
      </c>
      <c r="O256" t="str">
        <f>IF(Table1_1[[#This Row],[Date]] &lt; DATE(2025,1,1),"Before","During")</f>
        <v>Before</v>
      </c>
    </row>
    <row r="257" spans="1:15">
      <c r="A257" s="30" t="s">
        <v>151</v>
      </c>
      <c r="B257" s="30" t="s">
        <v>14</v>
      </c>
      <c r="C257" s="44">
        <v>45781</v>
      </c>
      <c r="D257" s="30" t="s">
        <v>24</v>
      </c>
      <c r="E257" s="30" t="s">
        <v>25</v>
      </c>
      <c r="F257" s="30">
        <v>1311</v>
      </c>
      <c r="G257" s="30">
        <v>181</v>
      </c>
      <c r="H257" s="30">
        <v>361</v>
      </c>
      <c r="I257" s="30">
        <v>37148</v>
      </c>
      <c r="J257" s="30">
        <v>44875</v>
      </c>
      <c r="K257" s="30">
        <v>245</v>
      </c>
      <c r="L257" s="30" t="s">
        <v>38</v>
      </c>
      <c r="M257" s="30" t="s">
        <v>51</v>
      </c>
      <c r="N257" s="39">
        <f>(Table1_1[[#This Row],[Likes]]+Table1_1[[#This Row],[Shares]]+Table1_1[[#This Row],[Comments]])/Table1_1[[#This Row],[Impressions]]</f>
        <v>4.9881554861634543E-2</v>
      </c>
      <c r="O257" t="str">
        <f>IF(Table1_1[[#This Row],[Date]] &lt; DATE(2025,1,1),"Before","During")</f>
        <v>During</v>
      </c>
    </row>
    <row r="258" spans="1:15">
      <c r="A258" s="30" t="s">
        <v>265</v>
      </c>
      <c r="B258" s="30" t="s">
        <v>29</v>
      </c>
      <c r="C258" s="44">
        <v>45791</v>
      </c>
      <c r="D258" s="30" t="s">
        <v>15</v>
      </c>
      <c r="E258" s="30" t="s">
        <v>16</v>
      </c>
      <c r="F258" s="30">
        <v>1701</v>
      </c>
      <c r="G258" s="30">
        <v>272</v>
      </c>
      <c r="H258" s="30">
        <v>385</v>
      </c>
      <c r="I258" s="30">
        <v>47496</v>
      </c>
      <c r="J258" s="30">
        <v>40832</v>
      </c>
      <c r="K258" s="30">
        <v>246</v>
      </c>
      <c r="L258" s="30" t="s">
        <v>20</v>
      </c>
      <c r="M258" s="30" t="s">
        <v>21</v>
      </c>
      <c r="N258" s="39">
        <f>(Table1_1[[#This Row],[Likes]]+Table1_1[[#This Row],[Shares]]+Table1_1[[#This Row],[Comments]])/Table1_1[[#This Row],[Impressions]]</f>
        <v>4.9646286003031836E-2</v>
      </c>
      <c r="O258" t="str">
        <f>IF(Table1_1[[#This Row],[Date]] &lt; DATE(2025,1,1),"Before","During")</f>
        <v>During</v>
      </c>
    </row>
    <row r="259" spans="1:15">
      <c r="A259" s="30" t="s">
        <v>276</v>
      </c>
      <c r="B259" s="30" t="s">
        <v>23</v>
      </c>
      <c r="C259" s="44">
        <v>45550</v>
      </c>
      <c r="D259" s="30" t="s">
        <v>15</v>
      </c>
      <c r="E259" s="30" t="s">
        <v>34</v>
      </c>
      <c r="F259" s="30">
        <v>2145</v>
      </c>
      <c r="G259" s="30">
        <v>340</v>
      </c>
      <c r="H259" s="30">
        <v>85</v>
      </c>
      <c r="I259" s="30">
        <v>53323</v>
      </c>
      <c r="J259" s="30">
        <v>49938</v>
      </c>
      <c r="K259" s="30">
        <v>104</v>
      </c>
      <c r="L259" s="30" t="s">
        <v>38</v>
      </c>
      <c r="M259" s="30" t="s">
        <v>17</v>
      </c>
      <c r="N259" s="39">
        <f>(Table1_1[[#This Row],[Likes]]+Table1_1[[#This Row],[Shares]]+Table1_1[[#This Row],[Comments]])/Table1_1[[#This Row],[Impressions]]</f>
        <v>4.819683813738912E-2</v>
      </c>
      <c r="O259" t="str">
        <f>IF(Table1_1[[#This Row],[Date]] &lt; DATE(2025,1,1),"Before","During")</f>
        <v>Before</v>
      </c>
    </row>
    <row r="260" spans="1:15">
      <c r="A260" s="30" t="s">
        <v>90</v>
      </c>
      <c r="B260" s="30" t="s">
        <v>23</v>
      </c>
      <c r="C260" s="44">
        <v>45420</v>
      </c>
      <c r="D260" s="30" t="s">
        <v>15</v>
      </c>
      <c r="E260" s="30" t="s">
        <v>19</v>
      </c>
      <c r="F260" s="30">
        <v>1828</v>
      </c>
      <c r="G260" s="30">
        <v>450</v>
      </c>
      <c r="H260" s="30">
        <v>214</v>
      </c>
      <c r="I260" s="30">
        <v>52115</v>
      </c>
      <c r="J260" s="30">
        <v>19166</v>
      </c>
      <c r="K260" s="30">
        <v>190</v>
      </c>
      <c r="L260" s="30" t="s">
        <v>38</v>
      </c>
      <c r="M260" s="30" t="s">
        <v>17</v>
      </c>
      <c r="N260" s="39">
        <f>(Table1_1[[#This Row],[Likes]]+Table1_1[[#This Row],[Shares]]+Table1_1[[#This Row],[Comments]])/Table1_1[[#This Row],[Impressions]]</f>
        <v>4.781732706514439E-2</v>
      </c>
      <c r="O260" t="str">
        <f>IF(Table1_1[[#This Row],[Date]] &lt; DATE(2025,1,1),"Before","During")</f>
        <v>Before</v>
      </c>
    </row>
    <row r="261" spans="1:15">
      <c r="A261" s="30" t="s">
        <v>168</v>
      </c>
      <c r="B261" s="30" t="s">
        <v>29</v>
      </c>
      <c r="C261" s="44">
        <v>45318</v>
      </c>
      <c r="D261" s="30" t="s">
        <v>15</v>
      </c>
      <c r="E261" s="30" t="s">
        <v>47</v>
      </c>
      <c r="F261" s="30">
        <v>1976</v>
      </c>
      <c r="G261" s="30">
        <v>262</v>
      </c>
      <c r="H261" s="30">
        <v>218</v>
      </c>
      <c r="I261" s="30">
        <v>51696</v>
      </c>
      <c r="J261" s="30">
        <v>44846</v>
      </c>
      <c r="K261" s="30">
        <v>139</v>
      </c>
      <c r="L261" s="30" t="s">
        <v>20</v>
      </c>
      <c r="M261" s="30" t="s">
        <v>21</v>
      </c>
      <c r="N261" s="39">
        <f>(Table1_1[[#This Row],[Likes]]+Table1_1[[#This Row],[Shares]]+Table1_1[[#This Row],[Comments]])/Table1_1[[#This Row],[Impressions]]</f>
        <v>4.7508511296812134E-2</v>
      </c>
      <c r="O261" t="str">
        <f>IF(Table1_1[[#This Row],[Date]] &lt; DATE(2025,1,1),"Before","During")</f>
        <v>Before</v>
      </c>
    </row>
    <row r="262" spans="1:15">
      <c r="A262" s="30" t="s">
        <v>49</v>
      </c>
      <c r="B262" s="30" t="s">
        <v>23</v>
      </c>
      <c r="C262" s="44">
        <v>45453</v>
      </c>
      <c r="D262" s="30" t="s">
        <v>15</v>
      </c>
      <c r="E262" s="30" t="s">
        <v>32</v>
      </c>
      <c r="F262" s="30">
        <v>1514</v>
      </c>
      <c r="G262" s="30">
        <v>164</v>
      </c>
      <c r="H262" s="30">
        <v>275</v>
      </c>
      <c r="I262" s="30">
        <v>41364</v>
      </c>
      <c r="J262" s="30">
        <v>44389</v>
      </c>
      <c r="K262" s="30">
        <v>83</v>
      </c>
      <c r="L262" s="30" t="s">
        <v>38</v>
      </c>
      <c r="M262" s="30" t="s">
        <v>17</v>
      </c>
      <c r="N262" s="39">
        <f>(Table1_1[[#This Row],[Likes]]+Table1_1[[#This Row],[Shares]]+Table1_1[[#This Row],[Comments]])/Table1_1[[#This Row],[Impressions]]</f>
        <v>4.7214969538729328E-2</v>
      </c>
      <c r="O262" t="str">
        <f>IF(Table1_1[[#This Row],[Date]] &lt; DATE(2025,1,1),"Before","During")</f>
        <v>Before</v>
      </c>
    </row>
    <row r="263" spans="1:15">
      <c r="A263" s="30" t="s">
        <v>155</v>
      </c>
      <c r="B263" s="30" t="s">
        <v>14</v>
      </c>
      <c r="C263" s="44">
        <v>45674</v>
      </c>
      <c r="D263" s="30" t="s">
        <v>15</v>
      </c>
      <c r="E263" s="30" t="s">
        <v>37</v>
      </c>
      <c r="F263" s="30">
        <v>2266</v>
      </c>
      <c r="G263" s="30">
        <v>126</v>
      </c>
      <c r="H263" s="30">
        <v>140</v>
      </c>
      <c r="I263" s="30">
        <v>53759</v>
      </c>
      <c r="J263" s="30">
        <v>46834</v>
      </c>
      <c r="K263" s="30">
        <v>277</v>
      </c>
      <c r="L263" s="30" t="s">
        <v>20</v>
      </c>
      <c r="M263" s="30" t="s">
        <v>21</v>
      </c>
      <c r="N263" s="39">
        <f>(Table1_1[[#This Row],[Likes]]+Table1_1[[#This Row],[Shares]]+Table1_1[[#This Row],[Comments]])/Table1_1[[#This Row],[Impressions]]</f>
        <v>4.7099090384865788E-2</v>
      </c>
      <c r="O263" t="str">
        <f>IF(Table1_1[[#This Row],[Date]] &lt; DATE(2025,1,1),"Before","During")</f>
        <v>During</v>
      </c>
    </row>
    <row r="264" spans="1:15">
      <c r="A264" s="30" t="s">
        <v>104</v>
      </c>
      <c r="B264" s="30" t="s">
        <v>23</v>
      </c>
      <c r="C264" s="44">
        <v>45643</v>
      </c>
      <c r="D264" s="30" t="s">
        <v>24</v>
      </c>
      <c r="E264" s="30" t="s">
        <v>30</v>
      </c>
      <c r="F264" s="30">
        <v>1316</v>
      </c>
      <c r="G264" s="30">
        <v>472</v>
      </c>
      <c r="H264" s="30">
        <v>286</v>
      </c>
      <c r="I264" s="30">
        <v>44692</v>
      </c>
      <c r="J264" s="30">
        <v>53343</v>
      </c>
      <c r="K264" s="30">
        <v>227</v>
      </c>
      <c r="L264" s="30" t="s">
        <v>20</v>
      </c>
      <c r="M264" s="30" t="s">
        <v>17</v>
      </c>
      <c r="N264" s="39">
        <f>(Table1_1[[#This Row],[Likes]]+Table1_1[[#This Row],[Shares]]+Table1_1[[#This Row],[Comments]])/Table1_1[[#This Row],[Impressions]]</f>
        <v>4.6406515707509172E-2</v>
      </c>
      <c r="O264" t="str">
        <f>IF(Table1_1[[#This Row],[Date]] &lt; DATE(2025,1,1),"Before","During")</f>
        <v>Before</v>
      </c>
    </row>
    <row r="265" spans="1:15">
      <c r="A265" s="30" t="s">
        <v>254</v>
      </c>
      <c r="B265" s="30" t="s">
        <v>23</v>
      </c>
      <c r="C265" s="44">
        <v>45332</v>
      </c>
      <c r="D265" s="30" t="s">
        <v>15</v>
      </c>
      <c r="E265" s="30" t="s">
        <v>45</v>
      </c>
      <c r="F265" s="30">
        <v>1519</v>
      </c>
      <c r="G265" s="30">
        <v>456</v>
      </c>
      <c r="H265" s="30">
        <v>379</v>
      </c>
      <c r="I265" s="30">
        <v>51611</v>
      </c>
      <c r="J265" s="30">
        <v>45880</v>
      </c>
      <c r="K265" s="30">
        <v>176</v>
      </c>
      <c r="L265" s="30" t="s">
        <v>41</v>
      </c>
      <c r="M265" s="30" t="s">
        <v>21</v>
      </c>
      <c r="N265" s="39">
        <f>(Table1_1[[#This Row],[Likes]]+Table1_1[[#This Row],[Shares]]+Table1_1[[#This Row],[Comments]])/Table1_1[[#This Row],[Impressions]]</f>
        <v>4.5610431884675749E-2</v>
      </c>
      <c r="O265" t="str">
        <f>IF(Table1_1[[#This Row],[Date]] &lt; DATE(2025,1,1),"Before","During")</f>
        <v>Before</v>
      </c>
    </row>
    <row r="266" spans="1:15">
      <c r="A266" s="30" t="s">
        <v>235</v>
      </c>
      <c r="B266" s="30" t="s">
        <v>23</v>
      </c>
      <c r="C266" s="44">
        <v>45369</v>
      </c>
      <c r="D266" s="30" t="s">
        <v>15</v>
      </c>
      <c r="E266" s="30" t="s">
        <v>25</v>
      </c>
      <c r="F266" s="30">
        <v>2033</v>
      </c>
      <c r="G266" s="30">
        <v>420</v>
      </c>
      <c r="H266" s="30">
        <v>94</v>
      </c>
      <c r="I266" s="30">
        <v>56290</v>
      </c>
      <c r="J266" s="30">
        <v>57391</v>
      </c>
      <c r="K266" s="30">
        <v>196</v>
      </c>
      <c r="L266" s="30" t="s">
        <v>38</v>
      </c>
      <c r="M266" s="30" t="s">
        <v>17</v>
      </c>
      <c r="N266" s="39">
        <f>(Table1_1[[#This Row],[Likes]]+Table1_1[[#This Row],[Shares]]+Table1_1[[#This Row],[Comments]])/Table1_1[[#This Row],[Impressions]]</f>
        <v>4.5247823769763724E-2</v>
      </c>
      <c r="O266" t="str">
        <f>IF(Table1_1[[#This Row],[Date]] &lt; DATE(2025,1,1),"Before","During")</f>
        <v>Before</v>
      </c>
    </row>
    <row r="267" spans="1:15">
      <c r="A267" s="30" t="s">
        <v>328</v>
      </c>
      <c r="B267" s="30" t="s">
        <v>29</v>
      </c>
      <c r="C267" s="44">
        <v>45765</v>
      </c>
      <c r="D267" s="30" t="s">
        <v>53</v>
      </c>
      <c r="E267" s="30" t="s">
        <v>47</v>
      </c>
      <c r="F267" s="30">
        <v>1265</v>
      </c>
      <c r="G267" s="30">
        <v>230</v>
      </c>
      <c r="H267" s="30">
        <v>364</v>
      </c>
      <c r="I267" s="30">
        <v>41312</v>
      </c>
      <c r="J267" s="30">
        <v>50382</v>
      </c>
      <c r="K267" s="30">
        <v>106</v>
      </c>
      <c r="L267" s="30" t="s">
        <v>20</v>
      </c>
      <c r="M267" s="30" t="s">
        <v>54</v>
      </c>
      <c r="N267" s="39">
        <f>(Table1_1[[#This Row],[Likes]]+Table1_1[[#This Row],[Shares]]+Table1_1[[#This Row],[Comments]])/Table1_1[[#This Row],[Impressions]]</f>
        <v>4.4999031758326875E-2</v>
      </c>
      <c r="O267" t="str">
        <f>IF(Table1_1[[#This Row],[Date]] &lt; DATE(2025,1,1),"Before","During")</f>
        <v>During</v>
      </c>
    </row>
    <row r="268" spans="1:15">
      <c r="A268" s="30" t="s">
        <v>121</v>
      </c>
      <c r="B268" s="30" t="s">
        <v>23</v>
      </c>
      <c r="C268" s="44">
        <v>45791</v>
      </c>
      <c r="D268" s="30" t="s">
        <v>24</v>
      </c>
      <c r="E268" s="30" t="s">
        <v>27</v>
      </c>
      <c r="F268" s="30">
        <v>1371</v>
      </c>
      <c r="G268" s="30">
        <v>139</v>
      </c>
      <c r="H268" s="30">
        <v>96</v>
      </c>
      <c r="I268" s="30">
        <v>36140</v>
      </c>
      <c r="J268" s="30">
        <v>39395</v>
      </c>
      <c r="K268" s="30">
        <v>169</v>
      </c>
      <c r="L268" s="30" t="s">
        <v>41</v>
      </c>
      <c r="M268" s="30" t="s">
        <v>17</v>
      </c>
      <c r="N268" s="39">
        <f>(Table1_1[[#This Row],[Likes]]+Table1_1[[#This Row],[Shares]]+Table1_1[[#This Row],[Comments]])/Table1_1[[#This Row],[Impressions]]</f>
        <v>4.4438295517432211E-2</v>
      </c>
      <c r="O268" t="str">
        <f>IF(Table1_1[[#This Row],[Date]] &lt; DATE(2025,1,1),"Before","During")</f>
        <v>During</v>
      </c>
    </row>
    <row r="269" spans="1:15">
      <c r="A269" s="30" t="s">
        <v>69</v>
      </c>
      <c r="B269" s="30" t="s">
        <v>14</v>
      </c>
      <c r="C269" s="44">
        <v>45666</v>
      </c>
      <c r="D269" s="30" t="s">
        <v>15</v>
      </c>
      <c r="E269" s="30" t="s">
        <v>25</v>
      </c>
      <c r="F269" s="30">
        <v>1015</v>
      </c>
      <c r="G269" s="30">
        <v>366</v>
      </c>
      <c r="H269" s="30">
        <v>308</v>
      </c>
      <c r="I269" s="30">
        <v>38127</v>
      </c>
      <c r="J269" s="30">
        <v>63790</v>
      </c>
      <c r="K269" s="30">
        <v>287</v>
      </c>
      <c r="L269" s="30" t="s">
        <v>41</v>
      </c>
      <c r="M269" s="30" t="s">
        <v>17</v>
      </c>
      <c r="N269" s="39">
        <f>(Table1_1[[#This Row],[Likes]]+Table1_1[[#This Row],[Shares]]+Table1_1[[#This Row],[Comments]])/Table1_1[[#This Row],[Impressions]]</f>
        <v>4.4299315445747112E-2</v>
      </c>
      <c r="O269" t="str">
        <f>IF(Table1_1[[#This Row],[Date]] &lt; DATE(2025,1,1),"Before","During")</f>
        <v>During</v>
      </c>
    </row>
    <row r="270" spans="1:15">
      <c r="A270" s="30" t="s">
        <v>286</v>
      </c>
      <c r="B270" s="30" t="s">
        <v>23</v>
      </c>
      <c r="C270" s="44">
        <v>45480</v>
      </c>
      <c r="D270" s="30" t="s">
        <v>15</v>
      </c>
      <c r="E270" s="30" t="s">
        <v>32</v>
      </c>
      <c r="F270" s="30">
        <v>1848</v>
      </c>
      <c r="G270" s="30">
        <v>417</v>
      </c>
      <c r="H270" s="30">
        <v>294</v>
      </c>
      <c r="I270" s="30">
        <v>57819</v>
      </c>
      <c r="J270" s="30">
        <v>19798</v>
      </c>
      <c r="K270" s="30">
        <v>262</v>
      </c>
      <c r="L270" s="30" t="s">
        <v>41</v>
      </c>
      <c r="M270" s="30" t="s">
        <v>21</v>
      </c>
      <c r="N270" s="39">
        <f>(Table1_1[[#This Row],[Likes]]+Table1_1[[#This Row],[Shares]]+Table1_1[[#This Row],[Comments]])/Table1_1[[#This Row],[Impressions]]</f>
        <v>4.4258807658382193E-2</v>
      </c>
      <c r="O270" t="str">
        <f>IF(Table1_1[[#This Row],[Date]] &lt; DATE(2025,1,1),"Before","During")</f>
        <v>Before</v>
      </c>
    </row>
    <row r="271" spans="1:15">
      <c r="A271" s="30" t="s">
        <v>97</v>
      </c>
      <c r="B271" s="30" t="s">
        <v>23</v>
      </c>
      <c r="C271" s="44">
        <v>45599</v>
      </c>
      <c r="D271" s="30" t="s">
        <v>24</v>
      </c>
      <c r="E271" s="30" t="s">
        <v>27</v>
      </c>
      <c r="F271" s="30">
        <v>1959</v>
      </c>
      <c r="G271" s="30">
        <v>316</v>
      </c>
      <c r="H271" s="30">
        <v>82</v>
      </c>
      <c r="I271" s="30">
        <v>54036</v>
      </c>
      <c r="J271" s="30">
        <v>69015</v>
      </c>
      <c r="K271" s="30">
        <v>182</v>
      </c>
      <c r="L271" s="30" t="s">
        <v>368</v>
      </c>
      <c r="M271" s="30" t="s">
        <v>17</v>
      </c>
      <c r="N271" s="39">
        <f>(Table1_1[[#This Row],[Likes]]+Table1_1[[#This Row],[Shares]]+Table1_1[[#This Row],[Comments]])/Table1_1[[#This Row],[Impressions]]</f>
        <v>4.3619068768968837E-2</v>
      </c>
      <c r="O271" t="str">
        <f>IF(Table1_1[[#This Row],[Date]] &lt; DATE(2025,1,1),"Before","During")</f>
        <v>Before</v>
      </c>
    </row>
    <row r="272" spans="1:15">
      <c r="A272" s="30" t="s">
        <v>56</v>
      </c>
      <c r="B272" s="30" t="s">
        <v>14</v>
      </c>
      <c r="C272" s="44">
        <v>45603</v>
      </c>
      <c r="D272" s="30" t="s">
        <v>24</v>
      </c>
      <c r="E272" s="30" t="s">
        <v>27</v>
      </c>
      <c r="F272" s="30">
        <v>1678</v>
      </c>
      <c r="G272" s="30">
        <v>423</v>
      </c>
      <c r="H272" s="30">
        <v>323</v>
      </c>
      <c r="I272" s="30">
        <v>55668</v>
      </c>
      <c r="J272" s="30">
        <v>37945</v>
      </c>
      <c r="K272" s="30">
        <v>230</v>
      </c>
      <c r="L272" s="30" t="s">
        <v>38</v>
      </c>
      <c r="M272" s="30" t="s">
        <v>51</v>
      </c>
      <c r="N272" s="39">
        <f>(Table1_1[[#This Row],[Likes]]+Table1_1[[#This Row],[Shares]]+Table1_1[[#This Row],[Comments]])/Table1_1[[#This Row],[Impressions]]</f>
        <v>4.3543867212761371E-2</v>
      </c>
      <c r="O272" t="str">
        <f>IF(Table1_1[[#This Row],[Date]] &lt; DATE(2025,1,1),"Before","During")</f>
        <v>Before</v>
      </c>
    </row>
    <row r="273" spans="1:15">
      <c r="A273" s="30" t="s">
        <v>216</v>
      </c>
      <c r="B273" s="30" t="s">
        <v>23</v>
      </c>
      <c r="C273" s="44">
        <v>45370</v>
      </c>
      <c r="D273" s="30" t="s">
        <v>15</v>
      </c>
      <c r="E273" s="30" t="s">
        <v>45</v>
      </c>
      <c r="F273" s="30">
        <v>2191</v>
      </c>
      <c r="G273" s="30">
        <v>288</v>
      </c>
      <c r="H273" s="30">
        <v>83</v>
      </c>
      <c r="I273" s="30">
        <v>59606</v>
      </c>
      <c r="J273" s="30">
        <v>24765</v>
      </c>
      <c r="K273" s="30">
        <v>281</v>
      </c>
      <c r="L273" s="30" t="s">
        <v>41</v>
      </c>
      <c r="M273" s="30" t="s">
        <v>21</v>
      </c>
      <c r="N273" s="39">
        <f>(Table1_1[[#This Row],[Likes]]+Table1_1[[#This Row],[Shares]]+Table1_1[[#This Row],[Comments]])/Table1_1[[#This Row],[Impressions]]</f>
        <v>4.2982250109049422E-2</v>
      </c>
      <c r="O273" t="str">
        <f>IF(Table1_1[[#This Row],[Date]] &lt; DATE(2025,1,1),"Before","During")</f>
        <v>Before</v>
      </c>
    </row>
    <row r="274" spans="1:15">
      <c r="A274" s="30" t="s">
        <v>153</v>
      </c>
      <c r="B274" s="30" t="s">
        <v>23</v>
      </c>
      <c r="C274" s="44">
        <v>45428</v>
      </c>
      <c r="D274" s="30" t="s">
        <v>24</v>
      </c>
      <c r="E274" s="30" t="s">
        <v>30</v>
      </c>
      <c r="F274" s="30">
        <v>2023</v>
      </c>
      <c r="G274" s="30">
        <v>124</v>
      </c>
      <c r="H274" s="30">
        <v>99</v>
      </c>
      <c r="I274" s="30">
        <v>54524</v>
      </c>
      <c r="J274" s="30">
        <v>34790</v>
      </c>
      <c r="K274" s="30">
        <v>195</v>
      </c>
      <c r="L274" s="30" t="s">
        <v>20</v>
      </c>
      <c r="M274" s="30" t="s">
        <v>17</v>
      </c>
      <c r="N274" s="39">
        <f>(Table1_1[[#This Row],[Likes]]+Table1_1[[#This Row],[Shares]]+Table1_1[[#This Row],[Comments]])/Table1_1[[#This Row],[Impressions]]</f>
        <v>4.1192869195216787E-2</v>
      </c>
      <c r="O274" t="str">
        <f>IF(Table1_1[[#This Row],[Date]] &lt; DATE(2025,1,1),"Before","During")</f>
        <v>Before</v>
      </c>
    </row>
    <row r="275" spans="1:15">
      <c r="A275" s="30" t="s">
        <v>109</v>
      </c>
      <c r="B275" s="30" t="s">
        <v>23</v>
      </c>
      <c r="C275" s="44">
        <v>45431</v>
      </c>
      <c r="D275" s="30" t="s">
        <v>24</v>
      </c>
      <c r="E275" s="30" t="s">
        <v>34</v>
      </c>
      <c r="F275" s="30">
        <v>1763</v>
      </c>
      <c r="G275" s="30">
        <v>206</v>
      </c>
      <c r="H275" s="30">
        <v>187</v>
      </c>
      <c r="I275" s="30">
        <v>53342</v>
      </c>
      <c r="J275" s="30">
        <v>25095</v>
      </c>
      <c r="K275" s="30">
        <v>88</v>
      </c>
      <c r="L275" s="30" t="s">
        <v>20</v>
      </c>
      <c r="M275" s="30" t="s">
        <v>17</v>
      </c>
      <c r="N275" s="39">
        <f>(Table1_1[[#This Row],[Likes]]+Table1_1[[#This Row],[Shares]]+Table1_1[[#This Row],[Comments]])/Table1_1[[#This Row],[Impressions]]</f>
        <v>4.0418432004799221E-2</v>
      </c>
      <c r="O275" t="str">
        <f>IF(Table1_1[[#This Row],[Date]] &lt; DATE(2025,1,1),"Before","During")</f>
        <v>Before</v>
      </c>
    </row>
    <row r="276" spans="1:15">
      <c r="A276" s="30" t="s">
        <v>247</v>
      </c>
      <c r="B276" s="30" t="s">
        <v>23</v>
      </c>
      <c r="C276" s="44">
        <v>45827</v>
      </c>
      <c r="D276" s="30" t="s">
        <v>24</v>
      </c>
      <c r="E276" s="30" t="s">
        <v>32</v>
      </c>
      <c r="F276" s="30">
        <v>1433</v>
      </c>
      <c r="G276" s="30">
        <v>452</v>
      </c>
      <c r="H276" s="30">
        <v>305</v>
      </c>
      <c r="I276" s="30">
        <v>54541</v>
      </c>
      <c r="J276" s="30">
        <v>63700</v>
      </c>
      <c r="K276" s="30">
        <v>296</v>
      </c>
      <c r="L276" s="30" t="s">
        <v>20</v>
      </c>
      <c r="M276" s="30" t="s">
        <v>17</v>
      </c>
      <c r="N276" s="39">
        <f>(Table1_1[[#This Row],[Likes]]+Table1_1[[#This Row],[Shares]]+Table1_1[[#This Row],[Comments]])/Table1_1[[#This Row],[Impressions]]</f>
        <v>4.0153279184466734E-2</v>
      </c>
      <c r="O276" t="str">
        <f>IF(Table1_1[[#This Row],[Date]] &lt; DATE(2025,1,1),"Before","During")</f>
        <v>During</v>
      </c>
    </row>
    <row r="277" spans="1:15">
      <c r="A277" s="30" t="s">
        <v>79</v>
      </c>
      <c r="B277" s="30" t="s">
        <v>14</v>
      </c>
      <c r="C277" s="44">
        <v>45541</v>
      </c>
      <c r="D277" s="30" t="s">
        <v>15</v>
      </c>
      <c r="E277" s="30" t="s">
        <v>25</v>
      </c>
      <c r="F277" s="30">
        <v>1452</v>
      </c>
      <c r="G277" s="30">
        <v>281</v>
      </c>
      <c r="H277" s="30">
        <v>326</v>
      </c>
      <c r="I277" s="30">
        <v>51556</v>
      </c>
      <c r="J277" s="30">
        <v>62599</v>
      </c>
      <c r="K277" s="30">
        <v>290</v>
      </c>
      <c r="L277" s="30" t="s">
        <v>20</v>
      </c>
      <c r="M277" s="30" t="s">
        <v>21</v>
      </c>
      <c r="N277" s="39">
        <f>(Table1_1[[#This Row],[Likes]]+Table1_1[[#This Row],[Shares]]+Table1_1[[#This Row],[Comments]])/Table1_1[[#This Row],[Impressions]]</f>
        <v>3.9937155714174881E-2</v>
      </c>
      <c r="O277" t="str">
        <f>IF(Table1_1[[#This Row],[Date]] &lt; DATE(2025,1,1),"Before","During")</f>
        <v>Before</v>
      </c>
    </row>
    <row r="278" spans="1:15">
      <c r="A278" s="30" t="s">
        <v>74</v>
      </c>
      <c r="B278" s="30" t="s">
        <v>14</v>
      </c>
      <c r="C278" s="44">
        <v>45621</v>
      </c>
      <c r="D278" s="30" t="s">
        <v>15</v>
      </c>
      <c r="E278" s="30" t="s">
        <v>45</v>
      </c>
      <c r="F278" s="30">
        <v>1341</v>
      </c>
      <c r="G278" s="30">
        <v>472</v>
      </c>
      <c r="H278" s="30">
        <v>238</v>
      </c>
      <c r="I278" s="30">
        <v>51386</v>
      </c>
      <c r="J278" s="30">
        <v>51706</v>
      </c>
      <c r="K278" s="30">
        <v>133</v>
      </c>
      <c r="L278" s="30" t="s">
        <v>20</v>
      </c>
      <c r="M278" s="30" t="s">
        <v>21</v>
      </c>
      <c r="N278" s="39">
        <f>(Table1_1[[#This Row],[Likes]]+Table1_1[[#This Row],[Shares]]+Table1_1[[#This Row],[Comments]])/Table1_1[[#This Row],[Impressions]]</f>
        <v>3.9913595142645857E-2</v>
      </c>
      <c r="O278" t="str">
        <f>IF(Table1_1[[#This Row],[Date]] &lt; DATE(2025,1,1),"Before","During")</f>
        <v>Before</v>
      </c>
    </row>
    <row r="279" spans="1:15">
      <c r="A279" s="30" t="s">
        <v>148</v>
      </c>
      <c r="B279" s="30" t="s">
        <v>14</v>
      </c>
      <c r="C279" s="44">
        <v>45544</v>
      </c>
      <c r="D279" s="30" t="s">
        <v>15</v>
      </c>
      <c r="E279" s="30" t="s">
        <v>25</v>
      </c>
      <c r="F279" s="30">
        <v>1616</v>
      </c>
      <c r="G279" s="30">
        <v>360</v>
      </c>
      <c r="H279" s="30">
        <v>180</v>
      </c>
      <c r="I279" s="30">
        <v>54342</v>
      </c>
      <c r="J279" s="30">
        <v>18796</v>
      </c>
      <c r="K279" s="30">
        <v>282</v>
      </c>
      <c r="L279" s="30" t="s">
        <v>41</v>
      </c>
      <c r="M279" s="30" t="s">
        <v>17</v>
      </c>
      <c r="N279" s="39">
        <f>(Table1_1[[#This Row],[Likes]]+Table1_1[[#This Row],[Shares]]+Table1_1[[#This Row],[Comments]])/Table1_1[[#This Row],[Impressions]]</f>
        <v>3.9674653122814763E-2</v>
      </c>
      <c r="O279" t="str">
        <f>IF(Table1_1[[#This Row],[Date]] &lt; DATE(2025,1,1),"Before","During")</f>
        <v>Before</v>
      </c>
    </row>
    <row r="280" spans="1:15">
      <c r="A280" s="30" t="s">
        <v>243</v>
      </c>
      <c r="B280" s="30" t="s">
        <v>23</v>
      </c>
      <c r="C280" s="44">
        <v>45754</v>
      </c>
      <c r="D280" s="30" t="s">
        <v>15</v>
      </c>
      <c r="E280" s="30" t="s">
        <v>45</v>
      </c>
      <c r="F280" s="30">
        <v>1403</v>
      </c>
      <c r="G280" s="30">
        <v>385</v>
      </c>
      <c r="H280" s="30">
        <v>344</v>
      </c>
      <c r="I280" s="30">
        <v>54223</v>
      </c>
      <c r="J280" s="30">
        <v>72595</v>
      </c>
      <c r="K280" s="30">
        <v>239</v>
      </c>
      <c r="L280" s="30" t="s">
        <v>41</v>
      </c>
      <c r="M280" s="30" t="s">
        <v>21</v>
      </c>
      <c r="N280" s="39">
        <f>(Table1_1[[#This Row],[Likes]]+Table1_1[[#This Row],[Shares]]+Table1_1[[#This Row],[Comments]])/Table1_1[[#This Row],[Impressions]]</f>
        <v>3.9319108127547353E-2</v>
      </c>
      <c r="O280" t="str">
        <f>IF(Table1_1[[#This Row],[Date]] &lt; DATE(2025,1,1),"Before","During")</f>
        <v>During</v>
      </c>
    </row>
    <row r="281" spans="1:15">
      <c r="A281" s="30" t="s">
        <v>73</v>
      </c>
      <c r="B281" s="30" t="s">
        <v>14</v>
      </c>
      <c r="C281" s="44">
        <v>45545</v>
      </c>
      <c r="D281" s="30" t="s">
        <v>24</v>
      </c>
      <c r="E281" s="30" t="s">
        <v>25</v>
      </c>
      <c r="F281" s="30">
        <v>1230</v>
      </c>
      <c r="G281" s="30">
        <v>309</v>
      </c>
      <c r="H281" s="30">
        <v>207</v>
      </c>
      <c r="I281" s="30">
        <v>44629</v>
      </c>
      <c r="J281" s="30">
        <v>40699</v>
      </c>
      <c r="K281" s="30">
        <v>195</v>
      </c>
      <c r="L281" s="30" t="s">
        <v>38</v>
      </c>
      <c r="M281" s="30" t="s">
        <v>51</v>
      </c>
      <c r="N281" s="39">
        <f>(Table1_1[[#This Row],[Likes]]+Table1_1[[#This Row],[Shares]]+Table1_1[[#This Row],[Comments]])/Table1_1[[#This Row],[Impressions]]</f>
        <v>3.9122543637545096E-2</v>
      </c>
      <c r="O281" t="str">
        <f>IF(Table1_1[[#This Row],[Date]] &lt; DATE(2025,1,1),"Before","During")</f>
        <v>Before</v>
      </c>
    </row>
    <row r="282" spans="1:15">
      <c r="A282" s="30" t="s">
        <v>191</v>
      </c>
      <c r="B282" s="30" t="s">
        <v>29</v>
      </c>
      <c r="C282" s="44">
        <v>45538</v>
      </c>
      <c r="D282" s="30" t="s">
        <v>53</v>
      </c>
      <c r="E282" s="30" t="s">
        <v>32</v>
      </c>
      <c r="F282" s="30">
        <v>1437</v>
      </c>
      <c r="G282" s="30">
        <v>494</v>
      </c>
      <c r="H282" s="30">
        <v>129</v>
      </c>
      <c r="I282" s="30">
        <v>53048</v>
      </c>
      <c r="J282" s="30">
        <v>44090</v>
      </c>
      <c r="K282" s="30">
        <v>230</v>
      </c>
      <c r="L282" s="30" t="s">
        <v>20</v>
      </c>
      <c r="M282" s="30" t="s">
        <v>54</v>
      </c>
      <c r="N282" s="39">
        <f>(Table1_1[[#This Row],[Likes]]+Table1_1[[#This Row],[Shares]]+Table1_1[[#This Row],[Comments]])/Table1_1[[#This Row],[Impressions]]</f>
        <v>3.8832755240536872E-2</v>
      </c>
      <c r="O282" t="str">
        <f>IF(Table1_1[[#This Row],[Date]] &lt; DATE(2025,1,1),"Before","During")</f>
        <v>Before</v>
      </c>
    </row>
    <row r="283" spans="1:15">
      <c r="A283" s="30" t="s">
        <v>98</v>
      </c>
      <c r="B283" s="30" t="s">
        <v>23</v>
      </c>
      <c r="C283" s="44">
        <v>45480</v>
      </c>
      <c r="D283" s="30" t="s">
        <v>15</v>
      </c>
      <c r="E283" s="30" t="s">
        <v>25</v>
      </c>
      <c r="F283" s="30">
        <v>1035</v>
      </c>
      <c r="G283" s="30">
        <v>137</v>
      </c>
      <c r="H283" s="30">
        <v>184</v>
      </c>
      <c r="I283" s="30">
        <v>37302</v>
      </c>
      <c r="J283" s="30">
        <v>68953</v>
      </c>
      <c r="K283" s="30">
        <v>237</v>
      </c>
      <c r="L283" s="30" t="s">
        <v>41</v>
      </c>
      <c r="M283" s="30" t="s">
        <v>21</v>
      </c>
      <c r="N283" s="39">
        <f>(Table1_1[[#This Row],[Likes]]+Table1_1[[#This Row],[Shares]]+Table1_1[[#This Row],[Comments]])/Table1_1[[#This Row],[Impressions]]</f>
        <v>3.6351938233874857E-2</v>
      </c>
      <c r="O283" t="str">
        <f>IF(Table1_1[[#This Row],[Date]] &lt; DATE(2025,1,1),"Before","During")</f>
        <v>Before</v>
      </c>
    </row>
    <row r="284" spans="1:15">
      <c r="A284" s="30" t="s">
        <v>157</v>
      </c>
      <c r="B284" s="30" t="s">
        <v>23</v>
      </c>
      <c r="C284" s="44">
        <v>45346</v>
      </c>
      <c r="D284" s="30" t="s">
        <v>24</v>
      </c>
      <c r="E284" s="30" t="s">
        <v>30</v>
      </c>
      <c r="F284" s="30">
        <v>1022</v>
      </c>
      <c r="G284" s="30">
        <v>463</v>
      </c>
      <c r="H284" s="30">
        <v>360</v>
      </c>
      <c r="I284" s="30">
        <v>51468</v>
      </c>
      <c r="J284" s="30">
        <v>24279</v>
      </c>
      <c r="K284" s="30">
        <v>230</v>
      </c>
      <c r="L284" s="30" t="s">
        <v>20</v>
      </c>
      <c r="M284" s="30" t="s">
        <v>17</v>
      </c>
      <c r="N284" s="39">
        <f>(Table1_1[[#This Row],[Likes]]+Table1_1[[#This Row],[Shares]]+Table1_1[[#This Row],[Comments]])/Table1_1[[#This Row],[Impressions]]</f>
        <v>3.5847516903707161E-2</v>
      </c>
      <c r="O284" t="str">
        <f>IF(Table1_1[[#This Row],[Date]] &lt; DATE(2025,1,1),"Before","During")</f>
        <v>Before</v>
      </c>
    </row>
    <row r="285" spans="1:15">
      <c r="A285" s="30" t="s">
        <v>232</v>
      </c>
      <c r="B285" s="30" t="s">
        <v>29</v>
      </c>
      <c r="C285" s="44">
        <v>45634</v>
      </c>
      <c r="D285" s="30" t="s">
        <v>15</v>
      </c>
      <c r="E285" s="30" t="s">
        <v>37</v>
      </c>
      <c r="F285" s="30">
        <v>1424</v>
      </c>
      <c r="G285" s="30">
        <v>396</v>
      </c>
      <c r="H285" s="30">
        <v>312</v>
      </c>
      <c r="I285" s="30">
        <v>59517</v>
      </c>
      <c r="J285" s="30">
        <v>46102</v>
      </c>
      <c r="K285" s="30">
        <v>239</v>
      </c>
      <c r="L285" s="30" t="s">
        <v>20</v>
      </c>
      <c r="M285" s="30" t="s">
        <v>21</v>
      </c>
      <c r="N285" s="39">
        <f>(Table1_1[[#This Row],[Likes]]+Table1_1[[#This Row],[Shares]]+Table1_1[[#This Row],[Comments]])/Table1_1[[#This Row],[Impressions]]</f>
        <v>3.5821698002251455E-2</v>
      </c>
      <c r="O285" t="str">
        <f>IF(Table1_1[[#This Row],[Date]] &lt; DATE(2025,1,1),"Before","During")</f>
        <v>Before</v>
      </c>
    </row>
    <row r="286" spans="1:15">
      <c r="A286" s="30" t="s">
        <v>100</v>
      </c>
      <c r="B286" s="30" t="s">
        <v>29</v>
      </c>
      <c r="C286" s="44">
        <v>45438</v>
      </c>
      <c r="D286" s="30" t="s">
        <v>15</v>
      </c>
      <c r="E286" s="30" t="s">
        <v>45</v>
      </c>
      <c r="F286" s="30">
        <v>1488</v>
      </c>
      <c r="G286" s="30">
        <v>327</v>
      </c>
      <c r="H286" s="30">
        <v>110</v>
      </c>
      <c r="I286" s="30">
        <v>53805</v>
      </c>
      <c r="J286" s="30">
        <v>30239</v>
      </c>
      <c r="K286" s="30">
        <v>109</v>
      </c>
      <c r="L286" s="30" t="s">
        <v>20</v>
      </c>
      <c r="M286" s="30" t="s">
        <v>21</v>
      </c>
      <c r="N286" s="39">
        <f>(Table1_1[[#This Row],[Likes]]+Table1_1[[#This Row],[Shares]]+Table1_1[[#This Row],[Comments]])/Table1_1[[#This Row],[Impressions]]</f>
        <v>3.5777344113000653E-2</v>
      </c>
      <c r="O286" t="str">
        <f>IF(Table1_1[[#This Row],[Date]] &lt; DATE(2025,1,1),"Before","During")</f>
        <v>Before</v>
      </c>
    </row>
    <row r="287" spans="1:15">
      <c r="A287" s="30" t="s">
        <v>199</v>
      </c>
      <c r="B287" s="30" t="s">
        <v>14</v>
      </c>
      <c r="C287" s="44">
        <v>45835</v>
      </c>
      <c r="D287" s="30" t="s">
        <v>24</v>
      </c>
      <c r="E287" s="30" t="s">
        <v>32</v>
      </c>
      <c r="F287" s="30">
        <v>1342</v>
      </c>
      <c r="G287" s="30">
        <v>332</v>
      </c>
      <c r="H287" s="30">
        <v>163</v>
      </c>
      <c r="I287" s="30">
        <v>51712</v>
      </c>
      <c r="J287" s="30">
        <v>57922</v>
      </c>
      <c r="K287" s="30">
        <v>168</v>
      </c>
      <c r="L287" s="30" t="s">
        <v>38</v>
      </c>
      <c r="M287" s="30" t="s">
        <v>51</v>
      </c>
      <c r="N287" s="39">
        <f>(Table1_1[[#This Row],[Likes]]+Table1_1[[#This Row],[Shares]]+Table1_1[[#This Row],[Comments]])/Table1_1[[#This Row],[Impressions]]</f>
        <v>3.5523669554455448E-2</v>
      </c>
      <c r="O287" t="str">
        <f>IF(Table1_1[[#This Row],[Date]] &lt; DATE(2025,1,1),"Before","During")</f>
        <v>During</v>
      </c>
    </row>
    <row r="288" spans="1:15">
      <c r="A288" s="30" t="s">
        <v>233</v>
      </c>
      <c r="B288" s="30" t="s">
        <v>23</v>
      </c>
      <c r="C288" s="44">
        <v>45689</v>
      </c>
      <c r="D288" s="30" t="s">
        <v>24</v>
      </c>
      <c r="E288" s="30" t="s">
        <v>37</v>
      </c>
      <c r="F288" s="30">
        <v>1079</v>
      </c>
      <c r="G288" s="30">
        <v>265</v>
      </c>
      <c r="H288" s="30">
        <v>190</v>
      </c>
      <c r="I288" s="30">
        <v>43786</v>
      </c>
      <c r="J288" s="30">
        <v>72428</v>
      </c>
      <c r="K288" s="30">
        <v>222</v>
      </c>
      <c r="L288" s="30" t="s">
        <v>41</v>
      </c>
      <c r="M288" s="30" t="s">
        <v>17</v>
      </c>
      <c r="N288" s="39">
        <f>(Table1_1[[#This Row],[Likes]]+Table1_1[[#This Row],[Shares]]+Table1_1[[#This Row],[Comments]])/Table1_1[[#This Row],[Impressions]]</f>
        <v>3.5034029141734799E-2</v>
      </c>
      <c r="O288" t="str">
        <f>IF(Table1_1[[#This Row],[Date]] &lt; DATE(2025,1,1),"Before","During")</f>
        <v>During</v>
      </c>
    </row>
    <row r="289" spans="1:15">
      <c r="A289" s="30" t="s">
        <v>152</v>
      </c>
      <c r="B289" s="30" t="s">
        <v>14</v>
      </c>
      <c r="C289" s="44">
        <v>45340</v>
      </c>
      <c r="D289" s="30" t="s">
        <v>24</v>
      </c>
      <c r="E289" s="30" t="s">
        <v>45</v>
      </c>
      <c r="F289" s="30">
        <v>1516</v>
      </c>
      <c r="G289" s="30">
        <v>215</v>
      </c>
      <c r="H289" s="30">
        <v>332</v>
      </c>
      <c r="I289" s="30">
        <v>58981</v>
      </c>
      <c r="J289" s="30">
        <v>36118</v>
      </c>
      <c r="K289" s="30">
        <v>211</v>
      </c>
      <c r="L289" s="30" t="s">
        <v>38</v>
      </c>
      <c r="M289" s="30" t="s">
        <v>51</v>
      </c>
      <c r="N289" s="39">
        <f>(Table1_1[[#This Row],[Likes]]+Table1_1[[#This Row],[Shares]]+Table1_1[[#This Row],[Comments]])/Table1_1[[#This Row],[Impressions]]</f>
        <v>3.4977365592309385E-2</v>
      </c>
      <c r="O289" t="str">
        <f>IF(Table1_1[[#This Row],[Date]] &lt; DATE(2025,1,1),"Before","During")</f>
        <v>Before</v>
      </c>
    </row>
    <row r="290" spans="1:15">
      <c r="A290" s="30" t="s">
        <v>162</v>
      </c>
      <c r="B290" s="30" t="s">
        <v>23</v>
      </c>
      <c r="C290" s="44">
        <v>45319</v>
      </c>
      <c r="D290" s="30" t="s">
        <v>15</v>
      </c>
      <c r="E290" s="30" t="s">
        <v>30</v>
      </c>
      <c r="F290" s="30">
        <v>1456</v>
      </c>
      <c r="G290" s="30">
        <v>265</v>
      </c>
      <c r="H290" s="30">
        <v>137</v>
      </c>
      <c r="I290" s="30">
        <v>53485</v>
      </c>
      <c r="J290" s="30">
        <v>59729</v>
      </c>
      <c r="K290" s="30">
        <v>145</v>
      </c>
      <c r="L290" s="30" t="s">
        <v>41</v>
      </c>
      <c r="M290" s="30" t="s">
        <v>21</v>
      </c>
      <c r="N290" s="39">
        <f>(Table1_1[[#This Row],[Likes]]+Table1_1[[#This Row],[Shares]]+Table1_1[[#This Row],[Comments]])/Table1_1[[#This Row],[Impressions]]</f>
        <v>3.4738711788351875E-2</v>
      </c>
      <c r="O290" t="str">
        <f>IF(Table1_1[[#This Row],[Date]] &lt; DATE(2025,1,1),"Before","During")</f>
        <v>Before</v>
      </c>
    </row>
    <row r="291" spans="1:15">
      <c r="A291" s="30" t="s">
        <v>320</v>
      </c>
      <c r="B291" s="30" t="s">
        <v>29</v>
      </c>
      <c r="C291" s="44">
        <v>45686</v>
      </c>
      <c r="D291" s="30" t="s">
        <v>15</v>
      </c>
      <c r="E291" s="30" t="s">
        <v>25</v>
      </c>
      <c r="F291" s="30">
        <v>1334</v>
      </c>
      <c r="G291" s="30">
        <v>357</v>
      </c>
      <c r="H291" s="30">
        <v>257</v>
      </c>
      <c r="I291" s="30">
        <v>56910</v>
      </c>
      <c r="J291" s="30">
        <v>70606</v>
      </c>
      <c r="K291" s="30">
        <v>228</v>
      </c>
      <c r="L291" s="30" t="s">
        <v>20</v>
      </c>
      <c r="M291" s="30" t="s">
        <v>21</v>
      </c>
      <c r="N291" s="39">
        <f>(Table1_1[[#This Row],[Likes]]+Table1_1[[#This Row],[Shares]]+Table1_1[[#This Row],[Comments]])/Table1_1[[#This Row],[Impressions]]</f>
        <v>3.4229485151994379E-2</v>
      </c>
      <c r="O291" t="str">
        <f>IF(Table1_1[[#This Row],[Date]] &lt; DATE(2025,1,1),"Before","During")</f>
        <v>During</v>
      </c>
    </row>
    <row r="292" spans="1:15">
      <c r="A292" s="30" t="s">
        <v>245</v>
      </c>
      <c r="B292" s="30" t="s">
        <v>23</v>
      </c>
      <c r="C292" s="44">
        <v>45780</v>
      </c>
      <c r="D292" s="30" t="s">
        <v>24</v>
      </c>
      <c r="E292" s="30" t="s">
        <v>37</v>
      </c>
      <c r="F292" s="30">
        <v>1010</v>
      </c>
      <c r="G292" s="30">
        <v>361</v>
      </c>
      <c r="H292" s="30">
        <v>240</v>
      </c>
      <c r="I292" s="30">
        <v>47229</v>
      </c>
      <c r="J292" s="30">
        <v>72573</v>
      </c>
      <c r="K292" s="30">
        <v>275</v>
      </c>
      <c r="L292" s="30" t="s">
        <v>41</v>
      </c>
      <c r="M292" s="30" t="s">
        <v>17</v>
      </c>
      <c r="N292" s="39">
        <f>(Table1_1[[#This Row],[Likes]]+Table1_1[[#This Row],[Shares]]+Table1_1[[#This Row],[Comments]])/Table1_1[[#This Row],[Impressions]]</f>
        <v>3.4110398272247981E-2</v>
      </c>
      <c r="O292" t="str">
        <f>IF(Table1_1[[#This Row],[Date]] &lt; DATE(2025,1,1),"Before","During")</f>
        <v>During</v>
      </c>
    </row>
    <row r="293" spans="1:15">
      <c r="A293" s="30" t="s">
        <v>293</v>
      </c>
      <c r="B293" s="30" t="s">
        <v>29</v>
      </c>
      <c r="C293" s="44">
        <v>45736</v>
      </c>
      <c r="D293" s="30" t="s">
        <v>53</v>
      </c>
      <c r="E293" s="30" t="s">
        <v>45</v>
      </c>
      <c r="F293" s="30">
        <v>1453</v>
      </c>
      <c r="G293" s="30">
        <v>156</v>
      </c>
      <c r="H293" s="30">
        <v>178</v>
      </c>
      <c r="I293" s="30">
        <v>52980</v>
      </c>
      <c r="J293" s="30">
        <v>57180</v>
      </c>
      <c r="K293" s="30">
        <v>286</v>
      </c>
      <c r="L293" s="30" t="s">
        <v>20</v>
      </c>
      <c r="M293" s="30" t="s">
        <v>54</v>
      </c>
      <c r="N293" s="39">
        <f>(Table1_1[[#This Row],[Likes]]+Table1_1[[#This Row],[Shares]]+Table1_1[[#This Row],[Comments]])/Table1_1[[#This Row],[Impressions]]</f>
        <v>3.3729709324273313E-2</v>
      </c>
      <c r="O293" t="str">
        <f>IF(Table1_1[[#This Row],[Date]] &lt; DATE(2025,1,1),"Before","During")</f>
        <v>During</v>
      </c>
    </row>
    <row r="294" spans="1:15">
      <c r="A294" s="30" t="s">
        <v>305</v>
      </c>
      <c r="B294" s="30" t="s">
        <v>23</v>
      </c>
      <c r="C294" s="44">
        <v>45609</v>
      </c>
      <c r="D294" s="30" t="s">
        <v>24</v>
      </c>
      <c r="E294" s="30" t="s">
        <v>25</v>
      </c>
      <c r="F294" s="30">
        <v>1409</v>
      </c>
      <c r="G294" s="30">
        <v>466</v>
      </c>
      <c r="H294" s="30">
        <v>105</v>
      </c>
      <c r="I294" s="30">
        <v>58923</v>
      </c>
      <c r="J294" s="30">
        <v>38753</v>
      </c>
      <c r="K294" s="30">
        <v>265</v>
      </c>
      <c r="L294" s="30" t="s">
        <v>20</v>
      </c>
      <c r="M294" s="30" t="s">
        <v>17</v>
      </c>
      <c r="N294" s="39">
        <f>(Table1_1[[#This Row],[Likes]]+Table1_1[[#This Row],[Shares]]+Table1_1[[#This Row],[Comments]])/Table1_1[[#This Row],[Impressions]]</f>
        <v>3.3603177027646251E-2</v>
      </c>
      <c r="O294" t="str">
        <f>IF(Table1_1[[#This Row],[Date]] &lt; DATE(2025,1,1),"Before","During")</f>
        <v>Before</v>
      </c>
    </row>
    <row r="295" spans="1:15">
      <c r="A295" s="30" t="s">
        <v>329</v>
      </c>
      <c r="B295" s="30" t="s">
        <v>14</v>
      </c>
      <c r="C295" s="44">
        <v>45653</v>
      </c>
      <c r="D295" s="30" t="s">
        <v>15</v>
      </c>
      <c r="E295" s="30" t="s">
        <v>45</v>
      </c>
      <c r="F295" s="30">
        <v>1436</v>
      </c>
      <c r="G295" s="30">
        <v>219</v>
      </c>
      <c r="H295" s="30">
        <v>229</v>
      </c>
      <c r="I295" s="30">
        <v>58488</v>
      </c>
      <c r="J295" s="30">
        <v>24314</v>
      </c>
      <c r="K295" s="30">
        <v>147</v>
      </c>
      <c r="L295" s="30" t="s">
        <v>20</v>
      </c>
      <c r="M295" s="30" t="s">
        <v>21</v>
      </c>
      <c r="N295" s="39">
        <f>(Table1_1[[#This Row],[Likes]]+Table1_1[[#This Row],[Shares]]+Table1_1[[#This Row],[Comments]])/Table1_1[[#This Row],[Impressions]]</f>
        <v>3.221173574066475E-2</v>
      </c>
      <c r="O295" t="str">
        <f>IF(Table1_1[[#This Row],[Date]] &lt; DATE(2025,1,1),"Before","During")</f>
        <v>Before</v>
      </c>
    </row>
    <row r="296" spans="1:15">
      <c r="A296" s="30" t="s">
        <v>263</v>
      </c>
      <c r="B296" s="30" t="s">
        <v>29</v>
      </c>
      <c r="C296" s="44">
        <v>45442</v>
      </c>
      <c r="D296" s="30" t="s">
        <v>53</v>
      </c>
      <c r="E296" s="30" t="s">
        <v>32</v>
      </c>
      <c r="F296" s="30">
        <v>1060</v>
      </c>
      <c r="G296" s="30">
        <v>442</v>
      </c>
      <c r="H296" s="30">
        <v>319</v>
      </c>
      <c r="I296" s="30">
        <v>57194</v>
      </c>
      <c r="J296" s="30">
        <v>24258</v>
      </c>
      <c r="K296" s="30">
        <v>101</v>
      </c>
      <c r="L296" s="30" t="s">
        <v>20</v>
      </c>
      <c r="M296" s="30" t="s">
        <v>54</v>
      </c>
      <c r="N296" s="39">
        <f>(Table1_1[[#This Row],[Likes]]+Table1_1[[#This Row],[Shares]]+Table1_1[[#This Row],[Comments]])/Table1_1[[#This Row],[Impressions]]</f>
        <v>3.1839004091338254E-2</v>
      </c>
      <c r="O296" t="str">
        <f>IF(Table1_1[[#This Row],[Date]] &lt; DATE(2025,1,1),"Before","During")</f>
        <v>Before</v>
      </c>
    </row>
    <row r="297" spans="1:15">
      <c r="A297" s="30" t="s">
        <v>246</v>
      </c>
      <c r="B297" s="30" t="s">
        <v>23</v>
      </c>
      <c r="C297" s="44">
        <v>45396</v>
      </c>
      <c r="D297" s="30" t="s">
        <v>24</v>
      </c>
      <c r="E297" s="30" t="s">
        <v>16</v>
      </c>
      <c r="F297" s="30">
        <v>1295</v>
      </c>
      <c r="G297" s="30">
        <v>153</v>
      </c>
      <c r="H297" s="30">
        <v>81</v>
      </c>
      <c r="I297" s="30">
        <v>48350</v>
      </c>
      <c r="J297" s="30">
        <v>61033</v>
      </c>
      <c r="K297" s="30">
        <v>232</v>
      </c>
      <c r="L297" s="30" t="s">
        <v>20</v>
      </c>
      <c r="M297" s="30" t="s">
        <v>17</v>
      </c>
      <c r="N297" s="39">
        <f>(Table1_1[[#This Row],[Likes]]+Table1_1[[#This Row],[Shares]]+Table1_1[[#This Row],[Comments]])/Table1_1[[#This Row],[Impressions]]</f>
        <v>3.1623578076525334E-2</v>
      </c>
      <c r="O297" t="str">
        <f>IF(Table1_1[[#This Row],[Date]] &lt; DATE(2025,1,1),"Before","During")</f>
        <v>Before</v>
      </c>
    </row>
    <row r="298" spans="1:15">
      <c r="A298" s="30" t="s">
        <v>258</v>
      </c>
      <c r="B298" s="30" t="s">
        <v>23</v>
      </c>
      <c r="C298" s="44">
        <v>45462</v>
      </c>
      <c r="D298" s="30" t="s">
        <v>15</v>
      </c>
      <c r="E298" s="30" t="s">
        <v>32</v>
      </c>
      <c r="F298" s="30">
        <v>1224</v>
      </c>
      <c r="G298" s="30">
        <v>168</v>
      </c>
      <c r="H298" s="30">
        <v>199</v>
      </c>
      <c r="I298" s="30">
        <v>54232</v>
      </c>
      <c r="J298" s="30">
        <v>52844</v>
      </c>
      <c r="K298" s="30">
        <v>271</v>
      </c>
      <c r="L298" s="30" t="s">
        <v>41</v>
      </c>
      <c r="M298" s="30" t="s">
        <v>21</v>
      </c>
      <c r="N298" s="39">
        <f>(Table1_1[[#This Row],[Likes]]+Table1_1[[#This Row],[Shares]]+Table1_1[[#This Row],[Comments]])/Table1_1[[#This Row],[Impressions]]</f>
        <v>2.9336922849977874E-2</v>
      </c>
      <c r="O298" t="str">
        <f>IF(Table1_1[[#This Row],[Date]] &lt; DATE(2025,1,1),"Before","During")</f>
        <v>Before</v>
      </c>
    </row>
    <row r="299" spans="1:15">
      <c r="A299" s="30" t="s">
        <v>165</v>
      </c>
      <c r="B299" s="30" t="s">
        <v>29</v>
      </c>
      <c r="C299" s="44">
        <v>45301</v>
      </c>
      <c r="D299" s="30" t="s">
        <v>15</v>
      </c>
      <c r="E299" s="30" t="s">
        <v>19</v>
      </c>
      <c r="F299" s="30">
        <v>1261</v>
      </c>
      <c r="G299" s="30">
        <v>190</v>
      </c>
      <c r="H299" s="30">
        <v>233</v>
      </c>
      <c r="I299" s="30">
        <v>59888</v>
      </c>
      <c r="J299" s="30">
        <v>51449</v>
      </c>
      <c r="K299" s="30">
        <v>205</v>
      </c>
      <c r="L299" s="30" t="s">
        <v>20</v>
      </c>
      <c r="M299" s="30" t="s">
        <v>21</v>
      </c>
      <c r="N299" s="39">
        <f>(Table1_1[[#This Row],[Likes]]+Table1_1[[#This Row],[Shares]]+Table1_1[[#This Row],[Comments]])/Table1_1[[#This Row],[Impressions]]</f>
        <v>2.811915575741384E-2</v>
      </c>
      <c r="O299" t="str">
        <f>IF(Table1_1[[#This Row],[Date]] &lt; DATE(2025,1,1),"Before","During")</f>
        <v>Before</v>
      </c>
    </row>
    <row r="300" spans="1:15">
      <c r="A300" s="30" t="s">
        <v>173</v>
      </c>
      <c r="B300" s="30" t="s">
        <v>23</v>
      </c>
      <c r="C300" s="44">
        <v>45624</v>
      </c>
      <c r="D300" s="30" t="s">
        <v>24</v>
      </c>
      <c r="E300" s="30" t="s">
        <v>25</v>
      </c>
      <c r="F300" s="30">
        <v>1131</v>
      </c>
      <c r="G300" s="30">
        <v>100</v>
      </c>
      <c r="H300" s="30">
        <v>116</v>
      </c>
      <c r="I300" s="30">
        <v>48437</v>
      </c>
      <c r="J300" s="30">
        <v>72704</v>
      </c>
      <c r="K300" s="30">
        <v>236</v>
      </c>
      <c r="L300" s="30" t="s">
        <v>20</v>
      </c>
      <c r="M300" s="30" t="s">
        <v>17</v>
      </c>
      <c r="N300" s="39">
        <f>(Table1_1[[#This Row],[Likes]]+Table1_1[[#This Row],[Shares]]+Table1_1[[#This Row],[Comments]])/Table1_1[[#This Row],[Impressions]]</f>
        <v>2.7809319322005904E-2</v>
      </c>
      <c r="O300" t="str">
        <f>IF(Table1_1[[#This Row],[Date]] &lt; DATE(2025,1,1),"Before","During")</f>
        <v>Before</v>
      </c>
    </row>
    <row r="301" spans="1:15">
      <c r="A301" s="30" t="s">
        <v>94</v>
      </c>
      <c r="B301" s="30" t="s">
        <v>29</v>
      </c>
      <c r="C301" s="44">
        <v>45514</v>
      </c>
      <c r="D301" s="30" t="s">
        <v>15</v>
      </c>
      <c r="E301" s="30" t="s">
        <v>45</v>
      </c>
      <c r="F301" s="30">
        <v>1105</v>
      </c>
      <c r="G301" s="30">
        <v>181</v>
      </c>
      <c r="H301" s="30">
        <v>55</v>
      </c>
      <c r="I301" s="30">
        <v>53581</v>
      </c>
      <c r="J301" s="30">
        <v>74048</v>
      </c>
      <c r="K301" s="30">
        <v>220</v>
      </c>
      <c r="L301" s="30" t="s">
        <v>20</v>
      </c>
      <c r="M301" s="30" t="s">
        <v>21</v>
      </c>
      <c r="N301" s="39">
        <f>(Table1_1[[#This Row],[Likes]]+Table1_1[[#This Row],[Shares]]+Table1_1[[#This Row],[Comments]])/Table1_1[[#This Row],[Impressions]]</f>
        <v>2.50275284149232E-2</v>
      </c>
      <c r="O301" t="str">
        <f>IF(Table1_1[[#This Row],[Date]] &lt; DATE(2025,1,1),"Before","During")</f>
        <v>Before</v>
      </c>
    </row>
  </sheetData>
  <conditionalFormatting sqref="N2:N11">
    <cfRule type="dataBar" priority="1">
      <dataBar>
        <cfvo type="min"/>
        <cfvo type="max"/>
        <color rgb="FF63C384"/>
      </dataBar>
      <extLst>
        <ext xmlns:x14="http://schemas.microsoft.com/office/spreadsheetml/2009/9/main" uri="{B025F937-C7B1-47D3-B67F-A62EFF666E3E}">
          <x14:id>{5D2BE5C9-0829-4834-8339-53DC77766A9B}</x14:id>
        </ext>
      </extLst>
    </cfRule>
  </conditionalFormatting>
  <conditionalFormatting sqref="N2:N301">
    <cfRule type="dataBar" priority="2">
      <dataBar>
        <cfvo type="min"/>
        <cfvo type="max"/>
        <color rgb="FFFF555A"/>
      </dataBar>
      <extLst>
        <ext xmlns:x14="http://schemas.microsoft.com/office/spreadsheetml/2009/9/main" uri="{B025F937-C7B1-47D3-B67F-A62EFF666E3E}">
          <x14:id>{3077C555-5517-4EF3-B292-CE3060708DFA}</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D2BE5C9-0829-4834-8339-53DC77766A9B}">
            <x14:dataBar minLength="0" maxLength="100" border="1" negativeBarBorderColorSameAsPositive="0">
              <x14:cfvo type="autoMin"/>
              <x14:cfvo type="autoMax"/>
              <x14:borderColor rgb="FF63C384"/>
              <x14:negativeFillColor rgb="FFFF0000"/>
              <x14:negativeBorderColor rgb="FFFF0000"/>
              <x14:axisColor rgb="FF000000"/>
            </x14:dataBar>
          </x14:cfRule>
          <xm:sqref>N2:N11</xm:sqref>
        </x14:conditionalFormatting>
        <x14:conditionalFormatting xmlns:xm="http://schemas.microsoft.com/office/excel/2006/main">
          <x14:cfRule type="dataBar" id="{3077C555-5517-4EF3-B292-CE3060708DFA}">
            <x14:dataBar minLength="0" maxLength="100" border="1" negativeBarBorderColorSameAsPositive="0">
              <x14:cfvo type="autoMin"/>
              <x14:cfvo type="autoMax"/>
              <x14:borderColor rgb="FFFF555A"/>
              <x14:negativeFillColor rgb="FFFF0000"/>
              <x14:negativeBorderColor rgb="FFFF0000"/>
              <x14:axisColor rgb="FF000000"/>
            </x14:dataBar>
          </x14:cfRule>
          <xm:sqref>N2:N301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70340-D75F-442B-B404-5BD45EE2F47B}">
  <dimension ref="A1:K41"/>
  <sheetViews>
    <sheetView topLeftCell="B13" zoomScale="85" workbookViewId="0">
      <selection activeCell="C37" sqref="C37"/>
    </sheetView>
  </sheetViews>
  <sheetFormatPr defaultRowHeight="14.5"/>
  <cols>
    <col min="1" max="1" width="17.453125" bestFit="1" customWidth="1"/>
    <col min="2" max="2" width="33.08984375" bestFit="1" customWidth="1"/>
    <col min="3" max="3" width="16.90625" bestFit="1" customWidth="1"/>
    <col min="4" max="4" width="13.1796875" bestFit="1" customWidth="1"/>
    <col min="5" max="5" width="15.6328125" bestFit="1" customWidth="1"/>
    <col min="6" max="6" width="11.7265625" bestFit="1" customWidth="1"/>
    <col min="7" max="7" width="16.90625" bestFit="1" customWidth="1"/>
    <col min="8" max="8" width="13.1796875" bestFit="1" customWidth="1"/>
    <col min="10" max="10" width="17.36328125" bestFit="1" customWidth="1"/>
    <col min="11" max="11" width="15" bestFit="1" customWidth="1"/>
  </cols>
  <sheetData>
    <row r="1" spans="1:11">
      <c r="A1" s="5"/>
      <c r="H1" s="5"/>
      <c r="J1" s="5"/>
      <c r="K1" s="5"/>
    </row>
    <row r="10" spans="1:11">
      <c r="A10" s="9" t="s">
        <v>370</v>
      </c>
      <c r="B10" s="7" t="s">
        <v>393</v>
      </c>
      <c r="D10" t="s">
        <v>1</v>
      </c>
      <c r="E10" t="s">
        <v>3</v>
      </c>
      <c r="F10" t="s">
        <v>373</v>
      </c>
      <c r="G10" t="s">
        <v>375</v>
      </c>
      <c r="H10" t="s">
        <v>374</v>
      </c>
      <c r="J10" s="7" t="s">
        <v>370</v>
      </c>
      <c r="K10" s="7" t="s">
        <v>379</v>
      </c>
    </row>
    <row r="11" spans="1:11">
      <c r="A11" s="6" t="s">
        <v>23</v>
      </c>
      <c r="B11" s="63">
        <v>8.5905584164325199E-2</v>
      </c>
      <c r="D11" t="s">
        <v>14</v>
      </c>
      <c r="E11" t="s">
        <v>24</v>
      </c>
      <c r="F11">
        <v>61815</v>
      </c>
      <c r="G11">
        <v>5656</v>
      </c>
      <c r="H11">
        <v>7993</v>
      </c>
      <c r="J11" s="6" t="s">
        <v>20</v>
      </c>
      <c r="K11" s="8">
        <v>197.16923076923078</v>
      </c>
    </row>
    <row r="12" spans="1:11">
      <c r="A12" s="6" t="s">
        <v>14</v>
      </c>
      <c r="B12" s="63">
        <v>8.4867576626802554E-2</v>
      </c>
      <c r="E12" t="s">
        <v>15</v>
      </c>
      <c r="F12">
        <v>189658</v>
      </c>
      <c r="G12">
        <v>15162</v>
      </c>
      <c r="H12">
        <v>21292</v>
      </c>
      <c r="J12" s="6" t="s">
        <v>41</v>
      </c>
      <c r="K12" s="8">
        <v>192.76249999999999</v>
      </c>
    </row>
    <row r="13" spans="1:11">
      <c r="A13" s="6" t="s">
        <v>29</v>
      </c>
      <c r="B13" s="63">
        <v>8.2324151888017033E-2</v>
      </c>
      <c r="D13" t="s">
        <v>376</v>
      </c>
      <c r="F13">
        <v>251473</v>
      </c>
      <c r="G13">
        <v>20818</v>
      </c>
      <c r="H13">
        <v>29285</v>
      </c>
      <c r="J13" s="6" t="s">
        <v>38</v>
      </c>
      <c r="K13" s="8">
        <v>190.71929824561403</v>
      </c>
    </row>
    <row r="14" spans="1:11">
      <c r="A14" s="6" t="s">
        <v>371</v>
      </c>
      <c r="B14" s="63">
        <v>8.481197764439917E-2</v>
      </c>
      <c r="D14" t="s">
        <v>23</v>
      </c>
      <c r="E14" t="s">
        <v>24</v>
      </c>
      <c r="F14">
        <v>272103</v>
      </c>
      <c r="G14">
        <v>18442</v>
      </c>
      <c r="H14">
        <v>26494</v>
      </c>
      <c r="J14" s="6" t="s">
        <v>368</v>
      </c>
      <c r="K14" s="8">
        <v>171.87878787878788</v>
      </c>
    </row>
    <row r="15" spans="1:11">
      <c r="E15" t="s">
        <v>15</v>
      </c>
      <c r="F15">
        <v>178192</v>
      </c>
      <c r="G15">
        <v>13135</v>
      </c>
      <c r="H15">
        <v>19004</v>
      </c>
      <c r="J15" s="6" t="s">
        <v>371</v>
      </c>
      <c r="K15" s="8">
        <v>191.98666666666668</v>
      </c>
    </row>
    <row r="16" spans="1:11">
      <c r="D16" t="s">
        <v>377</v>
      </c>
      <c r="F16">
        <v>450295</v>
      </c>
      <c r="G16">
        <v>31577</v>
      </c>
      <c r="H16">
        <v>45498</v>
      </c>
    </row>
    <row r="17" spans="1:8">
      <c r="D17" t="s">
        <v>29</v>
      </c>
      <c r="E17" t="s">
        <v>53</v>
      </c>
      <c r="F17">
        <v>89871</v>
      </c>
      <c r="G17">
        <v>6826</v>
      </c>
      <c r="H17">
        <v>9086</v>
      </c>
    </row>
    <row r="18" spans="1:8">
      <c r="E18" t="s">
        <v>15</v>
      </c>
      <c r="F18">
        <v>105536</v>
      </c>
      <c r="G18">
        <v>7845</v>
      </c>
      <c r="H18">
        <v>9532</v>
      </c>
    </row>
    <row r="19" spans="1:8">
      <c r="D19" t="s">
        <v>378</v>
      </c>
      <c r="F19">
        <v>195407</v>
      </c>
      <c r="G19">
        <v>14671</v>
      </c>
      <c r="H19">
        <v>18618</v>
      </c>
    </row>
    <row r="20" spans="1:8">
      <c r="D20" t="s">
        <v>371</v>
      </c>
      <c r="F20">
        <v>897175</v>
      </c>
      <c r="G20">
        <v>67066</v>
      </c>
      <c r="H20">
        <v>93401</v>
      </c>
    </row>
    <row r="29" spans="1:8">
      <c r="A29" t="s">
        <v>370</v>
      </c>
      <c r="B29" t="s">
        <v>373</v>
      </c>
      <c r="C29" t="s">
        <v>375</v>
      </c>
      <c r="D29" t="s">
        <v>374</v>
      </c>
    </row>
    <row r="30" spans="1:8">
      <c r="A30" t="s">
        <v>20</v>
      </c>
      <c r="B30">
        <v>396434</v>
      </c>
      <c r="C30">
        <v>29304</v>
      </c>
      <c r="D30">
        <v>39686</v>
      </c>
    </row>
    <row r="31" spans="1:8">
      <c r="A31" t="s">
        <v>368</v>
      </c>
      <c r="B31">
        <v>105081</v>
      </c>
      <c r="C31">
        <v>7392</v>
      </c>
      <c r="D31">
        <v>9411</v>
      </c>
    </row>
    <row r="32" spans="1:8">
      <c r="A32" t="s">
        <v>38</v>
      </c>
      <c r="B32">
        <v>167848</v>
      </c>
      <c r="C32">
        <v>12932</v>
      </c>
      <c r="D32">
        <v>18454</v>
      </c>
    </row>
    <row r="33" spans="1:4">
      <c r="A33" t="s">
        <v>41</v>
      </c>
      <c r="B33">
        <v>227812</v>
      </c>
      <c r="C33">
        <v>17438</v>
      </c>
      <c r="D33">
        <v>25850</v>
      </c>
    </row>
    <row r="34" spans="1:4">
      <c r="A34" t="s">
        <v>371</v>
      </c>
      <c r="B34">
        <v>897175</v>
      </c>
      <c r="C34">
        <v>67066</v>
      </c>
      <c r="D34">
        <v>93401</v>
      </c>
    </row>
    <row r="36" spans="1:4">
      <c r="A36" t="s">
        <v>370</v>
      </c>
      <c r="B36" t="s">
        <v>496</v>
      </c>
      <c r="C36" t="s">
        <v>380</v>
      </c>
    </row>
    <row r="37" spans="1:4">
      <c r="A37" t="s">
        <v>38</v>
      </c>
      <c r="B37" s="64">
        <v>8.9642733490249524E-2</v>
      </c>
      <c r="C37">
        <f>_xlfn.RANK.EQ(B37,$B$37:$B$41)</f>
        <v>1</v>
      </c>
    </row>
    <row r="38" spans="1:4">
      <c r="A38" t="s">
        <v>41</v>
      </c>
      <c r="B38" s="64">
        <v>8.5720121300921215E-2</v>
      </c>
      <c r="C38">
        <f>_xlfn.RANK.EQ(B38,$B$37:$B$41)</f>
        <v>2</v>
      </c>
    </row>
    <row r="39" spans="1:4">
      <c r="A39" t="s">
        <v>368</v>
      </c>
      <c r="B39" s="64">
        <v>8.1860677614793237E-2</v>
      </c>
      <c r="C39">
        <f>_xlfn.RANK.EQ(B39,$B$37:$B$41)</f>
        <v>3</v>
      </c>
    </row>
    <row r="40" spans="1:4">
      <c r="A40" t="s">
        <v>20</v>
      </c>
      <c r="B40" s="64">
        <v>8.1758285153064034E-2</v>
      </c>
      <c r="C40">
        <f>_xlfn.RANK.EQ(B40,$B$37:$B$41)</f>
        <v>4</v>
      </c>
    </row>
    <row r="41" spans="1:4">
      <c r="A41" t="s">
        <v>369</v>
      </c>
      <c r="B41" s="64">
        <v>7.9599596150869645E-2</v>
      </c>
      <c r="C41">
        <f>_xlfn.RANK.EQ(B41,$B$37:$B$41)</f>
        <v>5</v>
      </c>
    </row>
  </sheetData>
  <conditionalFormatting sqref="A37:C39">
    <cfRule type="dataBar" priority="2">
      <dataBar>
        <cfvo type="min"/>
        <cfvo type="max"/>
        <color rgb="FF63C384"/>
      </dataBar>
      <extLst>
        <ext xmlns:x14="http://schemas.microsoft.com/office/spreadsheetml/2009/9/main" uri="{B025F937-C7B1-47D3-B67F-A62EFF666E3E}">
          <x14:id>{48BFB53E-7111-4118-912E-B0919012E8D8}</x14:id>
        </ext>
      </extLst>
    </cfRule>
  </conditionalFormatting>
  <conditionalFormatting sqref="B37:C41">
    <cfRule type="colorScale" priority="1">
      <colorScale>
        <cfvo type="min"/>
        <cfvo type="max"/>
        <color rgb="FFF8696B"/>
        <color rgb="FFFCFCFF"/>
      </colorScale>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48BFB53E-7111-4118-912E-B0919012E8D8}">
            <x14:dataBar minLength="0" maxLength="100" border="1" negativeBarBorderColorSameAsPositive="0">
              <x14:cfvo type="autoMin"/>
              <x14:cfvo type="autoMax"/>
              <x14:borderColor rgb="FF63C384"/>
              <x14:negativeFillColor rgb="FFFF0000"/>
              <x14:negativeBorderColor rgb="FFFF0000"/>
              <x14:axisColor rgb="FF000000"/>
            </x14:dataBar>
          </x14:cfRule>
          <xm:sqref>A37:C39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topLeftCell="O45" zoomScale="97" zoomScaleNormal="55" workbookViewId="0">
      <selection activeCell="P49" sqref="P49:S49"/>
    </sheetView>
  </sheetViews>
  <sheetFormatPr defaultColWidth="14.453125" defaultRowHeight="15" customHeight="1"/>
  <cols>
    <col min="1" max="1" width="16.453125" style="1" bestFit="1" customWidth="1"/>
    <col min="2" max="2" width="14" style="1" bestFit="1" customWidth="1"/>
    <col min="3" max="3" width="14.26953125" style="1" bestFit="1" customWidth="1"/>
    <col min="4" max="4" width="13.90625" style="1" bestFit="1" customWidth="1"/>
    <col min="5" max="5" width="14.81640625" style="1" bestFit="1" customWidth="1"/>
    <col min="6" max="6" width="17.26953125" style="1" bestFit="1" customWidth="1"/>
    <col min="7" max="7" width="10.54296875" style="1" bestFit="1" customWidth="1"/>
    <col min="8" max="8" width="14" style="18" customWidth="1"/>
    <col min="9" max="9" width="17.1796875" style="18" bestFit="1" customWidth="1"/>
    <col min="10" max="10" width="19.08984375" style="1" bestFit="1" customWidth="1"/>
    <col min="11" max="11" width="22" style="1" bestFit="1" customWidth="1"/>
    <col min="12" max="12" width="14.6328125" style="1" bestFit="1" customWidth="1"/>
    <col min="13" max="13" width="21.6328125" style="1" bestFit="1" customWidth="1"/>
    <col min="14" max="14" width="21.26953125" style="1" customWidth="1"/>
    <col min="15" max="15" width="8.7265625" style="1" customWidth="1"/>
    <col min="16" max="16" width="12.7265625" style="1" bestFit="1" customWidth="1"/>
    <col min="17" max="17" width="15.81640625" style="1" bestFit="1" customWidth="1"/>
    <col min="18" max="18" width="16.453125" style="1" bestFit="1" customWidth="1"/>
    <col min="19" max="19" width="20" style="1" bestFit="1" customWidth="1"/>
    <col min="20" max="20" width="34.1796875" style="1" bestFit="1" customWidth="1"/>
    <col min="21" max="21" width="31.26953125" style="1" bestFit="1" customWidth="1"/>
    <col min="22" max="25" width="8.7265625" style="1" customWidth="1"/>
    <col min="26" max="16384" width="14.453125" style="1"/>
  </cols>
  <sheetData>
    <row r="1" spans="1:21" ht="14.5">
      <c r="A1" s="10" t="s">
        <v>336</v>
      </c>
      <c r="B1" s="10" t="s">
        <v>1</v>
      </c>
      <c r="C1" s="10" t="s">
        <v>337</v>
      </c>
      <c r="D1" s="10" t="s">
        <v>338</v>
      </c>
      <c r="E1" s="10" t="s">
        <v>339</v>
      </c>
      <c r="F1" s="10" t="s">
        <v>340</v>
      </c>
      <c r="G1" s="10" t="s">
        <v>341</v>
      </c>
      <c r="H1" s="10" t="s">
        <v>383</v>
      </c>
      <c r="I1" s="10" t="s">
        <v>384</v>
      </c>
      <c r="J1" s="19"/>
    </row>
    <row r="2" spans="1:21" ht="14.5">
      <c r="A2" s="11">
        <v>45446</v>
      </c>
      <c r="B2" s="12" t="s">
        <v>14</v>
      </c>
      <c r="C2" s="12">
        <v>1402</v>
      </c>
      <c r="D2" s="12">
        <v>68</v>
      </c>
      <c r="E2" s="12">
        <v>124562</v>
      </c>
      <c r="F2" s="12">
        <v>9.92</v>
      </c>
      <c r="G2" s="12">
        <v>23125</v>
      </c>
      <c r="H2" s="27">
        <f t="shared" ref="H2:H33" si="0">C2-D2</f>
        <v>1334</v>
      </c>
      <c r="I2" s="28">
        <f t="shared" ref="I2:I33" si="1">H2/E2</f>
        <v>1.0709526179733787E-2</v>
      </c>
    </row>
    <row r="3" spans="1:21" ht="14.5">
      <c r="A3" s="11">
        <v>45446</v>
      </c>
      <c r="B3" s="12" t="s">
        <v>23</v>
      </c>
      <c r="C3" s="12">
        <v>995</v>
      </c>
      <c r="D3" s="12">
        <v>86</v>
      </c>
      <c r="E3" s="12">
        <v>227958</v>
      </c>
      <c r="F3" s="12">
        <v>8.0500000000000007</v>
      </c>
      <c r="G3" s="12">
        <v>22788</v>
      </c>
      <c r="H3" s="27">
        <f t="shared" si="0"/>
        <v>909</v>
      </c>
      <c r="I3" s="28">
        <f t="shared" si="1"/>
        <v>3.9875766588582107E-3</v>
      </c>
    </row>
    <row r="4" spans="1:21" ht="14.5">
      <c r="A4" s="11">
        <v>45446</v>
      </c>
      <c r="B4" s="12" t="s">
        <v>29</v>
      </c>
      <c r="C4" s="12">
        <v>1472</v>
      </c>
      <c r="D4" s="12">
        <v>296</v>
      </c>
      <c r="E4" s="12">
        <v>370242</v>
      </c>
      <c r="F4" s="12">
        <v>7.72</v>
      </c>
      <c r="G4" s="12">
        <v>7810</v>
      </c>
      <c r="H4" s="27">
        <f t="shared" si="0"/>
        <v>1176</v>
      </c>
      <c r="I4" s="28">
        <f t="shared" si="1"/>
        <v>3.176300905893983E-3</v>
      </c>
    </row>
    <row r="5" spans="1:21" ht="14.5">
      <c r="A5" s="13">
        <v>45453</v>
      </c>
      <c r="B5" s="12" t="s">
        <v>14</v>
      </c>
      <c r="C5" s="12">
        <v>1018</v>
      </c>
      <c r="D5" s="12">
        <v>90</v>
      </c>
      <c r="E5" s="12">
        <v>92474</v>
      </c>
      <c r="F5" s="12">
        <v>9.4</v>
      </c>
      <c r="G5" s="12">
        <v>11966</v>
      </c>
      <c r="H5" s="27">
        <f t="shared" si="0"/>
        <v>928</v>
      </c>
      <c r="I5" s="28">
        <f t="shared" si="1"/>
        <v>1.0035253152237385E-2</v>
      </c>
    </row>
    <row r="6" spans="1:21" ht="14.5">
      <c r="A6" s="13">
        <v>45453</v>
      </c>
      <c r="B6" s="12" t="s">
        <v>23</v>
      </c>
      <c r="C6" s="12">
        <v>1461</v>
      </c>
      <c r="D6" s="12">
        <v>64</v>
      </c>
      <c r="E6" s="12">
        <v>328902</v>
      </c>
      <c r="F6" s="12">
        <v>9.02</v>
      </c>
      <c r="G6" s="12">
        <v>26298</v>
      </c>
      <c r="H6" s="27">
        <f t="shared" si="0"/>
        <v>1397</v>
      </c>
      <c r="I6" s="28">
        <f t="shared" si="1"/>
        <v>4.247465810484582E-3</v>
      </c>
    </row>
    <row r="7" spans="1:21" ht="14.5">
      <c r="A7" s="13">
        <v>45453</v>
      </c>
      <c r="B7" s="12" t="s">
        <v>29</v>
      </c>
      <c r="C7" s="12">
        <v>545</v>
      </c>
      <c r="D7" s="12">
        <v>93</v>
      </c>
      <c r="E7" s="12">
        <v>391621</v>
      </c>
      <c r="F7" s="12">
        <v>9.9600000000000009</v>
      </c>
      <c r="G7" s="12">
        <v>22029</v>
      </c>
      <c r="H7" s="27">
        <f t="shared" si="0"/>
        <v>452</v>
      </c>
      <c r="I7" s="28">
        <f t="shared" si="1"/>
        <v>1.1541771253329111E-3</v>
      </c>
    </row>
    <row r="8" spans="1:21" ht="14.5">
      <c r="A8" s="13">
        <v>45460</v>
      </c>
      <c r="B8" s="12" t="s">
        <v>14</v>
      </c>
      <c r="C8" s="12">
        <v>881</v>
      </c>
      <c r="D8" s="12">
        <v>291</v>
      </c>
      <c r="E8" s="12">
        <v>95885</v>
      </c>
      <c r="F8" s="12">
        <v>5.29</v>
      </c>
      <c r="G8" s="12">
        <v>12391</v>
      </c>
      <c r="H8" s="27">
        <f t="shared" si="0"/>
        <v>590</v>
      </c>
      <c r="I8" s="28">
        <f t="shared" si="1"/>
        <v>6.1532043593888509E-3</v>
      </c>
    </row>
    <row r="9" spans="1:21" ht="14.5">
      <c r="A9" s="13">
        <v>45460</v>
      </c>
      <c r="B9" s="12" t="s">
        <v>23</v>
      </c>
      <c r="C9" s="12">
        <v>1414</v>
      </c>
      <c r="D9" s="12">
        <v>131</v>
      </c>
      <c r="E9" s="12">
        <v>245947</v>
      </c>
      <c r="F9" s="12">
        <v>8.3000000000000007</v>
      </c>
      <c r="G9" s="12">
        <v>14477</v>
      </c>
      <c r="H9" s="27">
        <f t="shared" si="0"/>
        <v>1283</v>
      </c>
      <c r="I9" s="28">
        <f t="shared" si="1"/>
        <v>5.2165710498603361E-3</v>
      </c>
    </row>
    <row r="10" spans="1:21" ht="14.5">
      <c r="A10" s="13">
        <v>45460</v>
      </c>
      <c r="B10" s="12" t="s">
        <v>29</v>
      </c>
      <c r="C10" s="12">
        <v>1472</v>
      </c>
      <c r="D10" s="12">
        <v>170</v>
      </c>
      <c r="E10" s="12">
        <v>250428</v>
      </c>
      <c r="F10" s="12">
        <v>4.66</v>
      </c>
      <c r="G10" s="12">
        <v>25040</v>
      </c>
      <c r="H10" s="27">
        <f t="shared" si="0"/>
        <v>1302</v>
      </c>
      <c r="I10" s="28">
        <f t="shared" si="1"/>
        <v>5.1990991422684362E-3</v>
      </c>
      <c r="P10" s="14" t="s">
        <v>370</v>
      </c>
      <c r="Q10" s="15" t="s">
        <v>373</v>
      </c>
      <c r="R10" s="15" t="s">
        <v>381</v>
      </c>
      <c r="S10" s="15" t="s">
        <v>375</v>
      </c>
      <c r="T10" s="15" t="s">
        <v>374</v>
      </c>
      <c r="U10" s="15" t="s">
        <v>382</v>
      </c>
    </row>
    <row r="11" spans="1:21" ht="14.5">
      <c r="A11" s="13">
        <v>45467</v>
      </c>
      <c r="B11" s="12" t="s">
        <v>14</v>
      </c>
      <c r="C11" s="12">
        <v>809</v>
      </c>
      <c r="D11" s="12">
        <v>197</v>
      </c>
      <c r="E11" s="12">
        <v>87186</v>
      </c>
      <c r="F11" s="12">
        <v>9.48</v>
      </c>
      <c r="G11" s="12">
        <v>22619</v>
      </c>
      <c r="H11" s="27">
        <f t="shared" si="0"/>
        <v>612</v>
      </c>
      <c r="I11" s="28">
        <f t="shared" si="1"/>
        <v>7.0194756038813571E-3</v>
      </c>
      <c r="P11" s="15" t="s">
        <v>23</v>
      </c>
      <c r="Q11" s="15">
        <v>450295</v>
      </c>
      <c r="R11" s="15">
        <v>6138949</v>
      </c>
      <c r="S11" s="15">
        <v>31577</v>
      </c>
      <c r="T11" s="15">
        <v>45498</v>
      </c>
      <c r="U11" s="16">
        <v>8.5905584164325199E-2</v>
      </c>
    </row>
    <row r="12" spans="1:21" ht="14.5">
      <c r="A12" s="13">
        <v>45467</v>
      </c>
      <c r="B12" s="12" t="s">
        <v>23</v>
      </c>
      <c r="C12" s="12">
        <v>1371</v>
      </c>
      <c r="D12" s="12">
        <v>250</v>
      </c>
      <c r="E12" s="12">
        <v>128620</v>
      </c>
      <c r="F12" s="12">
        <v>7.11</v>
      </c>
      <c r="G12" s="12">
        <v>12399</v>
      </c>
      <c r="H12" s="27">
        <f t="shared" si="0"/>
        <v>1121</v>
      </c>
      <c r="I12" s="28">
        <f t="shared" si="1"/>
        <v>8.7155963302752298E-3</v>
      </c>
      <c r="L12" s="14" t="s">
        <v>370</v>
      </c>
      <c r="M12" s="15" t="s">
        <v>385</v>
      </c>
      <c r="P12" s="15" t="s">
        <v>14</v>
      </c>
      <c r="Q12" s="15">
        <v>251473</v>
      </c>
      <c r="R12" s="15">
        <v>3553489</v>
      </c>
      <c r="S12" s="15">
        <v>20818</v>
      </c>
      <c r="T12" s="15">
        <v>29285</v>
      </c>
      <c r="U12" s="16">
        <v>8.4867576626802554E-2</v>
      </c>
    </row>
    <row r="13" spans="1:21" ht="14.5">
      <c r="A13" s="13">
        <v>45467</v>
      </c>
      <c r="B13" s="12" t="s">
        <v>29</v>
      </c>
      <c r="C13" s="12">
        <v>844</v>
      </c>
      <c r="D13" s="12">
        <v>144</v>
      </c>
      <c r="E13" s="12">
        <v>126015</v>
      </c>
      <c r="F13" s="12">
        <v>9.65</v>
      </c>
      <c r="G13" s="12">
        <v>22456</v>
      </c>
      <c r="H13" s="27">
        <f t="shared" si="0"/>
        <v>700</v>
      </c>
      <c r="I13" s="28">
        <f t="shared" si="1"/>
        <v>5.5548942586200059E-3</v>
      </c>
      <c r="L13" s="15" t="s">
        <v>23</v>
      </c>
      <c r="M13" s="16">
        <v>4.6999264757296667E-3</v>
      </c>
      <c r="P13" s="15" t="s">
        <v>29</v>
      </c>
      <c r="Q13" s="15">
        <v>195407</v>
      </c>
      <c r="R13" s="15">
        <v>2777994</v>
      </c>
      <c r="S13" s="15">
        <v>14671</v>
      </c>
      <c r="T13" s="15">
        <v>18618</v>
      </c>
      <c r="U13" s="16">
        <v>8.2324151888017033E-2</v>
      </c>
    </row>
    <row r="14" spans="1:21" ht="14.5">
      <c r="A14" s="11">
        <v>45474</v>
      </c>
      <c r="B14" s="12" t="s">
        <v>14</v>
      </c>
      <c r="C14" s="12">
        <v>786</v>
      </c>
      <c r="D14" s="12">
        <v>72</v>
      </c>
      <c r="E14" s="12">
        <v>178615</v>
      </c>
      <c r="F14" s="12">
        <v>5.43</v>
      </c>
      <c r="G14" s="12">
        <v>19328</v>
      </c>
      <c r="H14" s="27">
        <f t="shared" si="0"/>
        <v>714</v>
      </c>
      <c r="I14" s="28">
        <f t="shared" si="1"/>
        <v>3.9974246283906723E-3</v>
      </c>
      <c r="L14" s="15" t="s">
        <v>14</v>
      </c>
      <c r="M14" s="16">
        <v>4.3506104359793425E-3</v>
      </c>
      <c r="P14" s="15" t="s">
        <v>371</v>
      </c>
      <c r="Q14" s="15">
        <v>897175</v>
      </c>
      <c r="R14" s="15">
        <v>12470432</v>
      </c>
      <c r="S14" s="15">
        <v>67066</v>
      </c>
      <c r="T14" s="15">
        <v>93401</v>
      </c>
      <c r="U14" s="16">
        <v>8.481197764439917E-2</v>
      </c>
    </row>
    <row r="15" spans="1:21" ht="14.5">
      <c r="A15" s="11">
        <v>45474</v>
      </c>
      <c r="B15" s="12" t="s">
        <v>23</v>
      </c>
      <c r="C15" s="12">
        <v>845</v>
      </c>
      <c r="D15" s="12">
        <v>250</v>
      </c>
      <c r="E15" s="12">
        <v>218228</v>
      </c>
      <c r="F15" s="12">
        <v>4.5199999999999996</v>
      </c>
      <c r="G15" s="12">
        <v>21107</v>
      </c>
      <c r="H15" s="27">
        <f t="shared" si="0"/>
        <v>595</v>
      </c>
      <c r="I15" s="28">
        <f t="shared" si="1"/>
        <v>2.7265062228494967E-3</v>
      </c>
      <c r="L15" s="15" t="s">
        <v>29</v>
      </c>
      <c r="M15" s="16">
        <v>3.9495607574575953E-3</v>
      </c>
    </row>
    <row r="16" spans="1:21" ht="14.5">
      <c r="A16" s="11">
        <v>45474</v>
      </c>
      <c r="B16" s="12" t="s">
        <v>29</v>
      </c>
      <c r="C16" s="12">
        <v>1218</v>
      </c>
      <c r="D16" s="12">
        <v>101</v>
      </c>
      <c r="E16" s="12">
        <v>300397</v>
      </c>
      <c r="F16" s="12">
        <v>4.33</v>
      </c>
      <c r="G16" s="12">
        <v>12277</v>
      </c>
      <c r="H16" s="27">
        <f t="shared" si="0"/>
        <v>1117</v>
      </c>
      <c r="I16" s="28">
        <f t="shared" si="1"/>
        <v>3.7184126339477423E-3</v>
      </c>
      <c r="L16" s="1" t="s">
        <v>371</v>
      </c>
      <c r="M16" s="17">
        <v>4.3352849153835268E-3</v>
      </c>
    </row>
    <row r="17" spans="1:20" ht="14.5">
      <c r="A17" s="11">
        <v>45481</v>
      </c>
      <c r="B17" s="12" t="s">
        <v>14</v>
      </c>
      <c r="C17" s="12">
        <v>797</v>
      </c>
      <c r="D17" s="12">
        <v>130</v>
      </c>
      <c r="E17" s="12">
        <v>340121</v>
      </c>
      <c r="F17" s="12">
        <v>8.52</v>
      </c>
      <c r="G17" s="12">
        <v>11684</v>
      </c>
      <c r="H17" s="27">
        <f t="shared" si="0"/>
        <v>667</v>
      </c>
      <c r="I17" s="28">
        <f t="shared" si="1"/>
        <v>1.9610667968164271E-3</v>
      </c>
    </row>
    <row r="18" spans="1:20" ht="14.5">
      <c r="A18" s="11">
        <v>45481</v>
      </c>
      <c r="B18" s="12" t="s">
        <v>23</v>
      </c>
      <c r="C18" s="12">
        <v>1471</v>
      </c>
      <c r="D18" s="12">
        <v>100</v>
      </c>
      <c r="E18" s="12">
        <v>76866</v>
      </c>
      <c r="F18" s="12">
        <v>8.5500000000000007</v>
      </c>
      <c r="G18" s="12">
        <v>14412</v>
      </c>
      <c r="H18" s="27">
        <f t="shared" si="0"/>
        <v>1371</v>
      </c>
      <c r="I18" s="28">
        <f t="shared" si="1"/>
        <v>1.7836234485988603E-2</v>
      </c>
    </row>
    <row r="19" spans="1:20" ht="14.5">
      <c r="A19" s="11">
        <v>45481</v>
      </c>
      <c r="B19" s="12" t="s">
        <v>29</v>
      </c>
      <c r="C19" s="12">
        <v>1253</v>
      </c>
      <c r="D19" s="12">
        <v>136</v>
      </c>
      <c r="E19" s="12">
        <v>193131</v>
      </c>
      <c r="F19" s="12">
        <v>7.99</v>
      </c>
      <c r="G19" s="12">
        <v>15924</v>
      </c>
      <c r="H19" s="27">
        <f t="shared" si="0"/>
        <v>1117</v>
      </c>
      <c r="I19" s="28">
        <f t="shared" si="1"/>
        <v>5.7836390843520723E-3</v>
      </c>
    </row>
    <row r="20" spans="1:20" ht="14.5">
      <c r="A20" s="13">
        <v>45488</v>
      </c>
      <c r="B20" s="12" t="s">
        <v>14</v>
      </c>
      <c r="C20" s="12">
        <v>616</v>
      </c>
      <c r="D20" s="12">
        <v>257</v>
      </c>
      <c r="E20" s="12">
        <v>169665</v>
      </c>
      <c r="F20" s="12">
        <v>6.31</v>
      </c>
      <c r="G20" s="12">
        <v>12390</v>
      </c>
      <c r="H20" s="27">
        <f t="shared" si="0"/>
        <v>359</v>
      </c>
      <c r="I20" s="28">
        <f t="shared" si="1"/>
        <v>2.1159343412017798E-3</v>
      </c>
    </row>
    <row r="21" spans="1:20" ht="15.75" customHeight="1">
      <c r="A21" s="13">
        <v>45488</v>
      </c>
      <c r="B21" s="12" t="s">
        <v>23</v>
      </c>
      <c r="C21" s="12">
        <v>1308</v>
      </c>
      <c r="D21" s="12">
        <v>210</v>
      </c>
      <c r="E21" s="12">
        <v>263729</v>
      </c>
      <c r="F21" s="12">
        <v>8.5299999999999994</v>
      </c>
      <c r="G21" s="12">
        <v>25742</v>
      </c>
      <c r="H21" s="27">
        <f t="shared" si="0"/>
        <v>1098</v>
      </c>
      <c r="I21" s="28">
        <f t="shared" si="1"/>
        <v>4.1633646660018432E-3</v>
      </c>
    </row>
    <row r="22" spans="1:20" ht="15.75" customHeight="1">
      <c r="A22" s="13">
        <v>45488</v>
      </c>
      <c r="B22" s="12" t="s">
        <v>29</v>
      </c>
      <c r="C22" s="12">
        <v>981</v>
      </c>
      <c r="D22" s="12">
        <v>69</v>
      </c>
      <c r="E22" s="12">
        <v>206921</v>
      </c>
      <c r="F22" s="12">
        <v>8.42</v>
      </c>
      <c r="G22" s="12">
        <v>10495</v>
      </c>
      <c r="H22" s="27">
        <f t="shared" si="0"/>
        <v>912</v>
      </c>
      <c r="I22" s="28">
        <f t="shared" si="1"/>
        <v>4.4074791828765565E-3</v>
      </c>
    </row>
    <row r="23" spans="1:20" ht="15.75" customHeight="1">
      <c r="A23" s="13">
        <v>45495</v>
      </c>
      <c r="B23" s="12" t="s">
        <v>14</v>
      </c>
      <c r="C23" s="12">
        <v>866</v>
      </c>
      <c r="D23" s="12">
        <v>74</v>
      </c>
      <c r="E23" s="12">
        <v>204121</v>
      </c>
      <c r="F23" s="12">
        <v>9.34</v>
      </c>
      <c r="G23" s="12">
        <v>7797</v>
      </c>
      <c r="H23" s="27">
        <f t="shared" si="0"/>
        <v>792</v>
      </c>
      <c r="I23" s="28">
        <f t="shared" si="1"/>
        <v>3.8800515380583087E-3</v>
      </c>
    </row>
    <row r="24" spans="1:20" ht="15.75" customHeight="1">
      <c r="A24" s="13">
        <v>45495</v>
      </c>
      <c r="B24" s="12" t="s">
        <v>23</v>
      </c>
      <c r="C24" s="12">
        <v>547</v>
      </c>
      <c r="D24" s="12">
        <v>183</v>
      </c>
      <c r="E24" s="12">
        <v>266350</v>
      </c>
      <c r="F24" s="12">
        <v>5.65</v>
      </c>
      <c r="G24" s="12">
        <v>15595</v>
      </c>
      <c r="H24" s="27">
        <f t="shared" si="0"/>
        <v>364</v>
      </c>
      <c r="I24" s="28">
        <f t="shared" si="1"/>
        <v>1.3666228646517741E-3</v>
      </c>
    </row>
    <row r="25" spans="1:20" ht="15.75" customHeight="1">
      <c r="A25" s="13">
        <v>45495</v>
      </c>
      <c r="B25" s="12" t="s">
        <v>29</v>
      </c>
      <c r="C25" s="12">
        <v>1241</v>
      </c>
      <c r="D25" s="12">
        <v>116</v>
      </c>
      <c r="E25" s="12">
        <v>380606</v>
      </c>
      <c r="F25" s="12">
        <v>4.2</v>
      </c>
      <c r="G25" s="12">
        <v>24617</v>
      </c>
      <c r="H25" s="27">
        <f t="shared" si="0"/>
        <v>1125</v>
      </c>
      <c r="I25" s="28">
        <f t="shared" si="1"/>
        <v>2.9558125725816196E-3</v>
      </c>
    </row>
    <row r="26" spans="1:20" ht="15.75" customHeight="1">
      <c r="A26" s="13">
        <v>45502</v>
      </c>
      <c r="B26" s="12" t="s">
        <v>14</v>
      </c>
      <c r="C26" s="12">
        <v>973</v>
      </c>
      <c r="D26" s="12">
        <v>104</v>
      </c>
      <c r="E26" s="12">
        <v>376358</v>
      </c>
      <c r="F26" s="12">
        <v>3.87</v>
      </c>
      <c r="G26" s="12">
        <v>9847</v>
      </c>
      <c r="H26" s="27">
        <f t="shared" si="0"/>
        <v>869</v>
      </c>
      <c r="I26" s="28">
        <f t="shared" si="1"/>
        <v>2.3089717768720206E-3</v>
      </c>
      <c r="J26" s="18"/>
    </row>
    <row r="27" spans="1:20" ht="15.75" customHeight="1">
      <c r="A27" s="13">
        <v>45502</v>
      </c>
      <c r="B27" s="12" t="s">
        <v>23</v>
      </c>
      <c r="C27" s="12">
        <v>611</v>
      </c>
      <c r="D27" s="12">
        <v>197</v>
      </c>
      <c r="E27" s="12">
        <v>79423</v>
      </c>
      <c r="F27" s="12">
        <v>5.82</v>
      </c>
      <c r="G27" s="12">
        <v>13644</v>
      </c>
      <c r="H27" s="27">
        <f t="shared" si="0"/>
        <v>414</v>
      </c>
      <c r="I27" s="28">
        <f t="shared" si="1"/>
        <v>5.2125958475504573E-3</v>
      </c>
    </row>
    <row r="28" spans="1:20" ht="15.75" customHeight="1">
      <c r="A28" s="13">
        <v>45502</v>
      </c>
      <c r="B28" s="12" t="s">
        <v>29</v>
      </c>
      <c r="C28" s="12">
        <v>983</v>
      </c>
      <c r="D28" s="12">
        <v>134</v>
      </c>
      <c r="E28" s="12">
        <v>352178</v>
      </c>
      <c r="F28" s="12">
        <v>3.55</v>
      </c>
      <c r="G28" s="12">
        <v>11421</v>
      </c>
      <c r="H28" s="27">
        <f t="shared" si="0"/>
        <v>849</v>
      </c>
      <c r="I28" s="28">
        <f t="shared" si="1"/>
        <v>2.4107127645679174E-3</v>
      </c>
    </row>
    <row r="29" spans="1:20" ht="15.75" customHeight="1">
      <c r="A29" s="13">
        <v>45509</v>
      </c>
      <c r="B29" s="12" t="s">
        <v>14</v>
      </c>
      <c r="C29" s="12">
        <v>1449</v>
      </c>
      <c r="D29" s="12">
        <v>96</v>
      </c>
      <c r="E29" s="12">
        <v>200636</v>
      </c>
      <c r="F29" s="12">
        <v>9.92</v>
      </c>
      <c r="G29" s="12">
        <v>15613</v>
      </c>
      <c r="H29" s="27">
        <f t="shared" si="0"/>
        <v>1353</v>
      </c>
      <c r="I29" s="28">
        <f t="shared" si="1"/>
        <v>6.7435554935305723E-3</v>
      </c>
    </row>
    <row r="30" spans="1:20" ht="15.75" customHeight="1">
      <c r="A30" s="13">
        <v>45509</v>
      </c>
      <c r="B30" s="12" t="s">
        <v>23</v>
      </c>
      <c r="C30" s="12">
        <v>752</v>
      </c>
      <c r="D30" s="12">
        <v>170</v>
      </c>
      <c r="E30" s="12">
        <v>132756</v>
      </c>
      <c r="F30" s="12">
        <v>8.17</v>
      </c>
      <c r="G30" s="12">
        <v>23900</v>
      </c>
      <c r="H30" s="27">
        <f t="shared" si="0"/>
        <v>582</v>
      </c>
      <c r="I30" s="28">
        <f t="shared" si="1"/>
        <v>4.3839826448522105E-3</v>
      </c>
    </row>
    <row r="31" spans="1:20" ht="15.75" customHeight="1">
      <c r="A31" s="13">
        <v>45509</v>
      </c>
      <c r="B31" s="12" t="s">
        <v>29</v>
      </c>
      <c r="C31" s="12">
        <v>937</v>
      </c>
      <c r="D31" s="12">
        <v>179</v>
      </c>
      <c r="E31" s="12">
        <v>318098</v>
      </c>
      <c r="F31" s="12">
        <v>5.3</v>
      </c>
      <c r="G31" s="12">
        <v>5836</v>
      </c>
      <c r="H31" s="27">
        <f t="shared" si="0"/>
        <v>758</v>
      </c>
      <c r="I31" s="28">
        <f t="shared" si="1"/>
        <v>2.3829134417695176E-3</v>
      </c>
    </row>
    <row r="32" spans="1:20" ht="15.75" customHeight="1">
      <c r="A32" s="13">
        <v>45516</v>
      </c>
      <c r="B32" s="12" t="s">
        <v>14</v>
      </c>
      <c r="C32" s="12">
        <v>1060</v>
      </c>
      <c r="D32" s="12">
        <v>83</v>
      </c>
      <c r="E32" s="12">
        <v>68724</v>
      </c>
      <c r="F32" s="12">
        <v>5.98</v>
      </c>
      <c r="G32" s="12">
        <v>5624</v>
      </c>
      <c r="H32" s="27">
        <f t="shared" si="0"/>
        <v>977</v>
      </c>
      <c r="I32" s="28">
        <f t="shared" si="1"/>
        <v>1.4216285431581398E-2</v>
      </c>
      <c r="P32" s="14" t="s">
        <v>370</v>
      </c>
      <c r="Q32" s="15" t="s">
        <v>373</v>
      </c>
      <c r="R32" s="15" t="s">
        <v>375</v>
      </c>
      <c r="S32" s="15" t="s">
        <v>374</v>
      </c>
      <c r="T32" s="15" t="s">
        <v>386</v>
      </c>
    </row>
    <row r="33" spans="1:20" ht="15.75" customHeight="1">
      <c r="A33" s="13">
        <v>45516</v>
      </c>
      <c r="B33" s="12" t="s">
        <v>23</v>
      </c>
      <c r="C33" s="12">
        <v>1456</v>
      </c>
      <c r="D33" s="12">
        <v>265</v>
      </c>
      <c r="E33" s="12">
        <v>115505</v>
      </c>
      <c r="F33" s="12">
        <v>7.49</v>
      </c>
      <c r="G33" s="12">
        <v>10311</v>
      </c>
      <c r="H33" s="27">
        <f t="shared" si="0"/>
        <v>1191</v>
      </c>
      <c r="I33" s="28">
        <f t="shared" si="1"/>
        <v>1.031124193757846E-2</v>
      </c>
      <c r="P33" s="15" t="s">
        <v>23</v>
      </c>
      <c r="Q33" s="15">
        <v>450295</v>
      </c>
      <c r="R33" s="15">
        <v>31577</v>
      </c>
      <c r="S33" s="15">
        <v>45498</v>
      </c>
      <c r="T33" s="16">
        <v>8.5905584164325199E-2</v>
      </c>
    </row>
    <row r="34" spans="1:20" ht="15.75" customHeight="1">
      <c r="A34" s="13">
        <v>45516</v>
      </c>
      <c r="B34" s="12" t="s">
        <v>29</v>
      </c>
      <c r="C34" s="12">
        <v>1109</v>
      </c>
      <c r="D34" s="12">
        <v>205</v>
      </c>
      <c r="E34" s="12">
        <v>276722</v>
      </c>
      <c r="F34" s="12">
        <v>9.3800000000000008</v>
      </c>
      <c r="G34" s="12">
        <v>8274</v>
      </c>
      <c r="H34" s="27">
        <f t="shared" ref="H34:H65" si="2">C34-D34</f>
        <v>904</v>
      </c>
      <c r="I34" s="28">
        <f t="shared" ref="I34:I65" si="3">H34/E34</f>
        <v>3.2668165162148292E-3</v>
      </c>
      <c r="P34" s="15" t="s">
        <v>14</v>
      </c>
      <c r="Q34" s="15">
        <v>251473</v>
      </c>
      <c r="R34" s="15">
        <v>20818</v>
      </c>
      <c r="S34" s="15">
        <v>29285</v>
      </c>
      <c r="T34" s="16">
        <v>8.4867576626802554E-2</v>
      </c>
    </row>
    <row r="35" spans="1:20" ht="15.75" customHeight="1">
      <c r="A35" s="13">
        <v>45523</v>
      </c>
      <c r="B35" s="12" t="s">
        <v>14</v>
      </c>
      <c r="C35" s="12">
        <v>1002</v>
      </c>
      <c r="D35" s="12">
        <v>93</v>
      </c>
      <c r="E35" s="12">
        <v>353538</v>
      </c>
      <c r="F35" s="12">
        <v>5.84</v>
      </c>
      <c r="G35" s="12">
        <v>6031</v>
      </c>
      <c r="H35" s="27">
        <f t="shared" si="2"/>
        <v>909</v>
      </c>
      <c r="I35" s="28">
        <f t="shared" si="3"/>
        <v>2.5711521816608116E-3</v>
      </c>
      <c r="P35" s="15" t="s">
        <v>29</v>
      </c>
      <c r="Q35" s="15">
        <v>195407</v>
      </c>
      <c r="R35" s="15">
        <v>14671</v>
      </c>
      <c r="S35" s="15">
        <v>18618</v>
      </c>
      <c r="T35" s="16">
        <v>8.2324151888017033E-2</v>
      </c>
    </row>
    <row r="36" spans="1:20" ht="15.75" customHeight="1">
      <c r="A36" s="13">
        <v>45523</v>
      </c>
      <c r="B36" s="12" t="s">
        <v>23</v>
      </c>
      <c r="C36" s="12">
        <v>571</v>
      </c>
      <c r="D36" s="12">
        <v>189</v>
      </c>
      <c r="E36" s="12">
        <v>61445</v>
      </c>
      <c r="F36" s="12">
        <v>5.41</v>
      </c>
      <c r="G36" s="12">
        <v>27829</v>
      </c>
      <c r="H36" s="27">
        <f t="shared" si="2"/>
        <v>382</v>
      </c>
      <c r="I36" s="28">
        <f t="shared" si="3"/>
        <v>6.2169419806330862E-3</v>
      </c>
      <c r="P36" s="15" t="s">
        <v>371</v>
      </c>
      <c r="Q36" s="15">
        <v>897175</v>
      </c>
      <c r="R36" s="15">
        <v>67066</v>
      </c>
      <c r="S36" s="15">
        <v>93401</v>
      </c>
      <c r="T36" s="16">
        <v>8.481197764439917E-2</v>
      </c>
    </row>
    <row r="37" spans="1:20" ht="15.75" customHeight="1">
      <c r="A37" s="13">
        <v>45523</v>
      </c>
      <c r="B37" s="12" t="s">
        <v>29</v>
      </c>
      <c r="C37" s="12">
        <v>1240</v>
      </c>
      <c r="D37" s="12">
        <v>231</v>
      </c>
      <c r="E37" s="12">
        <v>165035</v>
      </c>
      <c r="F37" s="12">
        <v>6.05</v>
      </c>
      <c r="G37" s="12">
        <v>18267</v>
      </c>
      <c r="H37" s="27">
        <f t="shared" si="2"/>
        <v>1009</v>
      </c>
      <c r="I37" s="28">
        <f t="shared" si="3"/>
        <v>6.1138546368952043E-3</v>
      </c>
    </row>
    <row r="38" spans="1:20" ht="15.75" customHeight="1">
      <c r="A38" s="13">
        <v>45530</v>
      </c>
      <c r="B38" s="12" t="s">
        <v>14</v>
      </c>
      <c r="C38" s="12">
        <v>1154</v>
      </c>
      <c r="D38" s="12">
        <v>132</v>
      </c>
      <c r="E38" s="12">
        <v>194595</v>
      </c>
      <c r="F38" s="12">
        <v>7.54</v>
      </c>
      <c r="G38" s="12">
        <v>26624</v>
      </c>
      <c r="H38" s="27">
        <f t="shared" si="2"/>
        <v>1022</v>
      </c>
      <c r="I38" s="28">
        <f t="shared" si="3"/>
        <v>5.2519335029163131E-3</v>
      </c>
    </row>
    <row r="39" spans="1:20" ht="15.75" customHeight="1">
      <c r="A39" s="13">
        <v>45530</v>
      </c>
      <c r="B39" s="12" t="s">
        <v>23</v>
      </c>
      <c r="C39" s="12">
        <v>537</v>
      </c>
      <c r="D39" s="12">
        <v>275</v>
      </c>
      <c r="E39" s="12">
        <v>236238</v>
      </c>
      <c r="F39" s="12">
        <v>5.87</v>
      </c>
      <c r="G39" s="12">
        <v>26644</v>
      </c>
      <c r="H39" s="27">
        <f t="shared" si="2"/>
        <v>262</v>
      </c>
      <c r="I39" s="28">
        <f t="shared" si="3"/>
        <v>1.1090510417460359E-3</v>
      </c>
      <c r="P39" s="21" t="s">
        <v>370</v>
      </c>
      <c r="Q39" t="s">
        <v>389</v>
      </c>
    </row>
    <row r="40" spans="1:20" ht="15.75" customHeight="1">
      <c r="A40" s="13">
        <v>45530</v>
      </c>
      <c r="B40" s="12" t="s">
        <v>29</v>
      </c>
      <c r="C40" s="12">
        <v>1456</v>
      </c>
      <c r="D40" s="12">
        <v>290</v>
      </c>
      <c r="E40" s="12">
        <v>271044</v>
      </c>
      <c r="F40" s="12">
        <v>7.17</v>
      </c>
      <c r="G40" s="12">
        <v>13051</v>
      </c>
      <c r="H40" s="27">
        <f t="shared" si="2"/>
        <v>1166</v>
      </c>
      <c r="I40" s="28">
        <f t="shared" si="3"/>
        <v>4.3018845648676966E-3</v>
      </c>
      <c r="P40" s="22" t="s">
        <v>14</v>
      </c>
      <c r="Q40" s="23">
        <v>1035942</v>
      </c>
      <c r="R40"/>
      <c r="S40"/>
    </row>
    <row r="41" spans="1:20" ht="15.75" customHeight="1">
      <c r="A41" s="13">
        <v>45537</v>
      </c>
      <c r="B41" s="12" t="s">
        <v>14</v>
      </c>
      <c r="C41" s="12">
        <v>721</v>
      </c>
      <c r="D41" s="12">
        <v>206</v>
      </c>
      <c r="E41" s="12">
        <v>334887</v>
      </c>
      <c r="F41" s="12">
        <v>6.05</v>
      </c>
      <c r="G41" s="12">
        <v>14217</v>
      </c>
      <c r="H41" s="27">
        <f t="shared" si="2"/>
        <v>515</v>
      </c>
      <c r="I41" s="28">
        <f t="shared" si="3"/>
        <v>1.5378321642822803E-3</v>
      </c>
      <c r="P41" s="22" t="s">
        <v>29</v>
      </c>
      <c r="Q41" s="23">
        <v>1065782</v>
      </c>
      <c r="R41"/>
      <c r="S41"/>
      <c r="T41"/>
    </row>
    <row r="42" spans="1:20" ht="15.75" customHeight="1">
      <c r="A42" s="13">
        <v>45537</v>
      </c>
      <c r="B42" s="12" t="s">
        <v>23</v>
      </c>
      <c r="C42" s="12">
        <v>1098</v>
      </c>
      <c r="D42" s="12">
        <v>142</v>
      </c>
      <c r="E42" s="12">
        <v>359150</v>
      </c>
      <c r="F42" s="12">
        <v>7.51</v>
      </c>
      <c r="G42" s="12">
        <v>16385</v>
      </c>
      <c r="H42" s="27">
        <f t="shared" si="2"/>
        <v>956</v>
      </c>
      <c r="I42" s="28">
        <f t="shared" si="3"/>
        <v>2.6618404566337186E-3</v>
      </c>
      <c r="P42" s="22" t="s">
        <v>23</v>
      </c>
      <c r="Q42" s="23">
        <v>1114204</v>
      </c>
      <c r="R42"/>
      <c r="S42"/>
    </row>
    <row r="43" spans="1:20" ht="15.75" customHeight="1">
      <c r="A43" s="13">
        <v>45537</v>
      </c>
      <c r="B43" s="12" t="s">
        <v>29</v>
      </c>
      <c r="C43" s="12">
        <v>1096</v>
      </c>
      <c r="D43" s="12">
        <v>65</v>
      </c>
      <c r="E43" s="12">
        <v>358295</v>
      </c>
      <c r="F43" s="12">
        <v>7.66</v>
      </c>
      <c r="G43" s="12">
        <v>24548</v>
      </c>
      <c r="H43" s="27">
        <f t="shared" si="2"/>
        <v>1031</v>
      </c>
      <c r="I43" s="28">
        <f t="shared" si="3"/>
        <v>2.8775171297394605E-3</v>
      </c>
      <c r="P43" s="22" t="s">
        <v>371</v>
      </c>
      <c r="Q43" s="23">
        <v>3215928</v>
      </c>
      <c r="R43"/>
      <c r="S43"/>
    </row>
    <row r="44" spans="1:20" ht="15.75" customHeight="1">
      <c r="A44" s="13">
        <v>45544</v>
      </c>
      <c r="B44" s="12" t="s">
        <v>14</v>
      </c>
      <c r="C44" s="12">
        <v>912</v>
      </c>
      <c r="D44" s="12">
        <v>275</v>
      </c>
      <c r="E44" s="12">
        <v>368454</v>
      </c>
      <c r="F44" s="12">
        <v>6.03</v>
      </c>
      <c r="G44" s="12">
        <v>9195</v>
      </c>
      <c r="H44" s="27">
        <f t="shared" si="2"/>
        <v>637</v>
      </c>
      <c r="I44" s="28">
        <f t="shared" si="3"/>
        <v>1.7288453918263881E-3</v>
      </c>
      <c r="P44"/>
      <c r="Q44"/>
      <c r="R44"/>
      <c r="S44"/>
    </row>
    <row r="45" spans="1:20" ht="15.75" customHeight="1">
      <c r="A45" s="13">
        <v>45544</v>
      </c>
      <c r="B45" s="12" t="s">
        <v>23</v>
      </c>
      <c r="C45" s="12">
        <v>1430</v>
      </c>
      <c r="D45" s="12">
        <v>162</v>
      </c>
      <c r="E45" s="12">
        <v>269082</v>
      </c>
      <c r="F45" s="12">
        <v>3.4</v>
      </c>
      <c r="G45" s="12">
        <v>18071</v>
      </c>
      <c r="H45" s="27">
        <f t="shared" si="2"/>
        <v>1268</v>
      </c>
      <c r="I45" s="28">
        <f t="shared" si="3"/>
        <v>4.7123181781018424E-3</v>
      </c>
    </row>
    <row r="46" spans="1:20" ht="15.75" customHeight="1">
      <c r="A46" s="13">
        <v>45544</v>
      </c>
      <c r="B46" s="12" t="s">
        <v>29</v>
      </c>
      <c r="C46" s="12">
        <v>854</v>
      </c>
      <c r="D46" s="12">
        <v>129</v>
      </c>
      <c r="E46" s="12">
        <v>310903</v>
      </c>
      <c r="F46" s="12">
        <v>7.83</v>
      </c>
      <c r="G46" s="12">
        <v>16875</v>
      </c>
      <c r="H46" s="27">
        <f t="shared" si="2"/>
        <v>725</v>
      </c>
      <c r="I46" s="28">
        <f t="shared" si="3"/>
        <v>2.3319170287838973E-3</v>
      </c>
      <c r="P46" s="26" t="s">
        <v>1</v>
      </c>
      <c r="Q46" s="26" t="s">
        <v>387</v>
      </c>
      <c r="R46" s="26" t="s">
        <v>390</v>
      </c>
      <c r="S46" s="26" t="s">
        <v>388</v>
      </c>
    </row>
    <row r="47" spans="1:20" ht="15.75" customHeight="1">
      <c r="A47" s="13">
        <v>45551</v>
      </c>
      <c r="B47" s="12" t="s">
        <v>14</v>
      </c>
      <c r="C47" s="12">
        <v>681</v>
      </c>
      <c r="D47" s="12">
        <v>210</v>
      </c>
      <c r="E47" s="12">
        <v>248581</v>
      </c>
      <c r="F47" s="12">
        <v>8.76</v>
      </c>
      <c r="G47" s="12">
        <v>9567</v>
      </c>
      <c r="H47" s="27">
        <f t="shared" si="2"/>
        <v>471</v>
      </c>
      <c r="I47" s="28">
        <f t="shared" si="3"/>
        <v>1.8947546272643525E-3</v>
      </c>
      <c r="P47" s="15" t="s">
        <v>23</v>
      </c>
      <c r="Q47" s="15">
        <f>SUM(GETPIVOTDATA("Sum of Likes",$P$32,"Platform","Twitter"),GETPIVOTDATA("Sum of Comments",$P$32,"Platform","Twitter"),GETPIVOTDATA("Sum of Shares",$P$32,"Platform","Twitter"))</f>
        <v>527370</v>
      </c>
      <c r="R47" s="24">
        <v>1114204</v>
      </c>
      <c r="S47" s="25">
        <f>Q47/R47</f>
        <v>0.47331547903256493</v>
      </c>
    </row>
    <row r="48" spans="1:20" ht="15.75" customHeight="1">
      <c r="A48" s="13">
        <v>45551</v>
      </c>
      <c r="B48" s="12" t="s">
        <v>23</v>
      </c>
      <c r="C48" s="12">
        <v>1373</v>
      </c>
      <c r="D48" s="12">
        <v>82</v>
      </c>
      <c r="E48" s="12">
        <v>371015</v>
      </c>
      <c r="F48" s="12">
        <v>9.52</v>
      </c>
      <c r="G48" s="12">
        <v>20306</v>
      </c>
      <c r="H48" s="27">
        <f t="shared" si="2"/>
        <v>1291</v>
      </c>
      <c r="I48" s="28">
        <f t="shared" si="3"/>
        <v>3.4796436801746559E-3</v>
      </c>
      <c r="P48" s="15" t="s">
        <v>14</v>
      </c>
      <c r="Q48" s="15">
        <f>SUM(GETPIVOTDATA("Sum of Likes",$P$32,"Platform","Instagram"),GETPIVOTDATA("Sum of Comments",$P$32,"Platform","Instagram"),GETPIVOTDATA("Sum of Shares",$P$32,"Platform","Instagram"))</f>
        <v>301576</v>
      </c>
      <c r="R48" s="24">
        <v>1035942</v>
      </c>
      <c r="S48" s="25">
        <f t="shared" ref="S48:S49" si="4">Q48/R48</f>
        <v>0.29111282291865759</v>
      </c>
    </row>
    <row r="49" spans="1:19" ht="15.75" customHeight="1">
      <c r="A49" s="13">
        <v>45551</v>
      </c>
      <c r="B49" s="12" t="s">
        <v>29</v>
      </c>
      <c r="C49" s="12">
        <v>685</v>
      </c>
      <c r="D49" s="12">
        <v>285</v>
      </c>
      <c r="E49" s="12">
        <v>177452</v>
      </c>
      <c r="F49" s="12">
        <v>3.36</v>
      </c>
      <c r="G49" s="12">
        <v>21134</v>
      </c>
      <c r="H49" s="27">
        <f t="shared" si="2"/>
        <v>400</v>
      </c>
      <c r="I49" s="28">
        <f t="shared" si="3"/>
        <v>2.2541306944976669E-3</v>
      </c>
      <c r="P49" s="15" t="s">
        <v>29</v>
      </c>
      <c r="Q49" s="15">
        <f>SUM(GETPIVOTDATA("Sum of Likes",$P$32,"Platform","YouTube"),GETPIVOTDATA("Sum of Comments",$P$32,"Platform","YouTube"),GETPIVOTDATA("Sum of Shares",$P$32,"Platform","YouTube"))</f>
        <v>228696</v>
      </c>
      <c r="R49" s="24">
        <v>1065782</v>
      </c>
      <c r="S49" s="25">
        <f t="shared" si="4"/>
        <v>0.21458046767537828</v>
      </c>
    </row>
    <row r="50" spans="1:19" ht="15.75" customHeight="1">
      <c r="A50" s="13">
        <v>45558</v>
      </c>
      <c r="B50" s="12" t="s">
        <v>14</v>
      </c>
      <c r="C50" s="12">
        <v>1290</v>
      </c>
      <c r="D50" s="12">
        <v>177</v>
      </c>
      <c r="E50" s="12">
        <v>80745</v>
      </c>
      <c r="F50" s="12">
        <v>9.2200000000000006</v>
      </c>
      <c r="G50" s="12">
        <v>26872</v>
      </c>
      <c r="H50" s="27">
        <f t="shared" si="2"/>
        <v>1113</v>
      </c>
      <c r="I50" s="28">
        <f t="shared" si="3"/>
        <v>1.3784135240572171E-2</v>
      </c>
    </row>
    <row r="51" spans="1:19" ht="15.75" customHeight="1">
      <c r="A51" s="13">
        <v>45558</v>
      </c>
      <c r="B51" s="12" t="s">
        <v>23</v>
      </c>
      <c r="C51" s="12">
        <v>1437</v>
      </c>
      <c r="D51" s="12">
        <v>239</v>
      </c>
      <c r="E51" s="12">
        <v>362441</v>
      </c>
      <c r="F51" s="12">
        <v>5.57</v>
      </c>
      <c r="G51" s="12">
        <v>10253</v>
      </c>
      <c r="H51" s="27">
        <f t="shared" si="2"/>
        <v>1198</v>
      </c>
      <c r="I51" s="28">
        <f t="shared" si="3"/>
        <v>3.305365562946797E-3</v>
      </c>
    </row>
    <row r="52" spans="1:19" ht="15.75" customHeight="1">
      <c r="A52" s="13">
        <v>45558</v>
      </c>
      <c r="B52" s="12" t="s">
        <v>29</v>
      </c>
      <c r="C52" s="12">
        <v>769</v>
      </c>
      <c r="D52" s="12">
        <v>295</v>
      </c>
      <c r="E52" s="12">
        <v>344771</v>
      </c>
      <c r="F52" s="12">
        <v>8.06</v>
      </c>
      <c r="G52" s="12">
        <v>23963</v>
      </c>
      <c r="H52" s="27">
        <f t="shared" si="2"/>
        <v>474</v>
      </c>
      <c r="I52" s="28">
        <f t="shared" si="3"/>
        <v>1.3748256088824177E-3</v>
      </c>
    </row>
    <row r="53" spans="1:19" ht="15.75" customHeight="1">
      <c r="A53" s="13">
        <v>45565</v>
      </c>
      <c r="B53" s="12" t="s">
        <v>14</v>
      </c>
      <c r="C53" s="12">
        <v>1416</v>
      </c>
      <c r="D53" s="12">
        <v>284</v>
      </c>
      <c r="E53" s="12">
        <v>374952</v>
      </c>
      <c r="F53" s="12">
        <v>3.45</v>
      </c>
      <c r="G53" s="12">
        <v>11335</v>
      </c>
      <c r="H53" s="27">
        <f t="shared" si="2"/>
        <v>1132</v>
      </c>
      <c r="I53" s="28">
        <f t="shared" si="3"/>
        <v>3.0190531054641659E-3</v>
      </c>
    </row>
    <row r="54" spans="1:19" ht="15.75" customHeight="1">
      <c r="A54" s="13">
        <v>45565</v>
      </c>
      <c r="B54" s="12" t="s">
        <v>23</v>
      </c>
      <c r="C54" s="12">
        <v>998</v>
      </c>
      <c r="D54" s="12">
        <v>154</v>
      </c>
      <c r="E54" s="12">
        <v>179781</v>
      </c>
      <c r="F54" s="12">
        <v>9.58</v>
      </c>
      <c r="G54" s="12">
        <v>12115</v>
      </c>
      <c r="H54" s="27">
        <f t="shared" si="2"/>
        <v>844</v>
      </c>
      <c r="I54" s="28">
        <f t="shared" si="3"/>
        <v>4.6946006530167259E-3</v>
      </c>
    </row>
    <row r="55" spans="1:19" ht="15.75" customHeight="1">
      <c r="A55" s="13">
        <v>45565</v>
      </c>
      <c r="B55" s="12" t="s">
        <v>29</v>
      </c>
      <c r="C55" s="12">
        <v>1421</v>
      </c>
      <c r="D55" s="12">
        <v>246</v>
      </c>
      <c r="E55" s="12">
        <v>358581</v>
      </c>
      <c r="F55" s="12">
        <v>8.8800000000000008</v>
      </c>
      <c r="G55" s="12">
        <v>24358</v>
      </c>
      <c r="H55" s="27">
        <f t="shared" si="2"/>
        <v>1175</v>
      </c>
      <c r="I55" s="28">
        <f t="shared" si="3"/>
        <v>3.2768049617799048E-3</v>
      </c>
    </row>
    <row r="56" spans="1:19" ht="15.75" customHeight="1">
      <c r="A56" s="13">
        <v>45572</v>
      </c>
      <c r="B56" s="12" t="s">
        <v>14</v>
      </c>
      <c r="C56" s="12">
        <v>764</v>
      </c>
      <c r="D56" s="12">
        <v>205</v>
      </c>
      <c r="E56" s="12">
        <v>319294</v>
      </c>
      <c r="F56" s="12">
        <v>6.23</v>
      </c>
      <c r="G56" s="12">
        <v>12181</v>
      </c>
      <c r="H56" s="27">
        <f t="shared" si="2"/>
        <v>559</v>
      </c>
      <c r="I56" s="28">
        <f t="shared" si="3"/>
        <v>1.7507375647522346E-3</v>
      </c>
    </row>
    <row r="57" spans="1:19" ht="15.75" customHeight="1">
      <c r="A57" s="13">
        <v>45572</v>
      </c>
      <c r="B57" s="12" t="s">
        <v>23</v>
      </c>
      <c r="C57" s="12">
        <v>678</v>
      </c>
      <c r="D57" s="12">
        <v>124</v>
      </c>
      <c r="E57" s="12">
        <v>192022</v>
      </c>
      <c r="F57" s="12">
        <v>8.4499999999999993</v>
      </c>
      <c r="G57" s="12">
        <v>17729</v>
      </c>
      <c r="H57" s="27">
        <f t="shared" si="2"/>
        <v>554</v>
      </c>
      <c r="I57" s="28">
        <f t="shared" si="3"/>
        <v>2.8850860838862216E-3</v>
      </c>
    </row>
    <row r="58" spans="1:19" ht="15.75" customHeight="1">
      <c r="A58" s="13">
        <v>45572</v>
      </c>
      <c r="B58" s="12" t="s">
        <v>29</v>
      </c>
      <c r="C58" s="12">
        <v>1328</v>
      </c>
      <c r="D58" s="12">
        <v>103</v>
      </c>
      <c r="E58" s="12">
        <v>151462</v>
      </c>
      <c r="F58" s="12">
        <v>8.4</v>
      </c>
      <c r="G58" s="12">
        <v>10881</v>
      </c>
      <c r="H58" s="27">
        <f t="shared" si="2"/>
        <v>1225</v>
      </c>
      <c r="I58" s="28">
        <f t="shared" si="3"/>
        <v>8.0878372132944243E-3</v>
      </c>
    </row>
    <row r="59" spans="1:19" ht="15.75" customHeight="1">
      <c r="A59" s="13">
        <v>45579</v>
      </c>
      <c r="B59" s="12" t="s">
        <v>14</v>
      </c>
      <c r="C59" s="12">
        <v>1161</v>
      </c>
      <c r="D59" s="12">
        <v>269</v>
      </c>
      <c r="E59" s="12">
        <v>188193</v>
      </c>
      <c r="F59" s="12">
        <v>7.34</v>
      </c>
      <c r="G59" s="12">
        <v>18576</v>
      </c>
      <c r="H59" s="27">
        <f t="shared" si="2"/>
        <v>892</v>
      </c>
      <c r="I59" s="28">
        <f t="shared" si="3"/>
        <v>4.7398149771776844E-3</v>
      </c>
    </row>
    <row r="60" spans="1:19" ht="15.75" customHeight="1">
      <c r="A60" s="13">
        <v>45579</v>
      </c>
      <c r="B60" s="12" t="s">
        <v>23</v>
      </c>
      <c r="C60" s="12">
        <v>588</v>
      </c>
      <c r="D60" s="12">
        <v>52</v>
      </c>
      <c r="E60" s="12">
        <v>292040</v>
      </c>
      <c r="F60" s="12">
        <v>8.14</v>
      </c>
      <c r="G60" s="12">
        <v>9383</v>
      </c>
      <c r="H60" s="27">
        <f t="shared" si="2"/>
        <v>536</v>
      </c>
      <c r="I60" s="28">
        <f t="shared" si="3"/>
        <v>1.8353650184906177E-3</v>
      </c>
    </row>
    <row r="61" spans="1:19" ht="15.75" customHeight="1">
      <c r="A61" s="13">
        <v>45579</v>
      </c>
      <c r="B61" s="12" t="s">
        <v>29</v>
      </c>
      <c r="C61" s="12">
        <v>1457</v>
      </c>
      <c r="D61" s="12">
        <v>215</v>
      </c>
      <c r="E61" s="12">
        <v>325325</v>
      </c>
      <c r="F61" s="12">
        <v>9.58</v>
      </c>
      <c r="G61" s="12">
        <v>14178</v>
      </c>
      <c r="H61" s="27">
        <f t="shared" si="2"/>
        <v>1242</v>
      </c>
      <c r="I61" s="28">
        <f t="shared" si="3"/>
        <v>3.8177207407976638E-3</v>
      </c>
    </row>
    <row r="62" spans="1:19" ht="15.75" customHeight="1">
      <c r="A62" s="13">
        <v>45586</v>
      </c>
      <c r="B62" s="12" t="s">
        <v>14</v>
      </c>
      <c r="C62" s="12">
        <v>1190</v>
      </c>
      <c r="D62" s="12">
        <v>242</v>
      </c>
      <c r="E62" s="12">
        <v>86849</v>
      </c>
      <c r="F62" s="12">
        <v>8.06</v>
      </c>
      <c r="G62" s="12">
        <v>21254</v>
      </c>
      <c r="H62" s="27">
        <f t="shared" si="2"/>
        <v>948</v>
      </c>
      <c r="I62" s="28">
        <f t="shared" si="3"/>
        <v>1.0915497012055407E-2</v>
      </c>
    </row>
    <row r="63" spans="1:19" ht="15.75" customHeight="1">
      <c r="A63" s="13">
        <v>45586</v>
      </c>
      <c r="B63" s="12" t="s">
        <v>23</v>
      </c>
      <c r="C63" s="12">
        <v>886</v>
      </c>
      <c r="D63" s="12">
        <v>124</v>
      </c>
      <c r="E63" s="12">
        <v>141161</v>
      </c>
      <c r="F63" s="12">
        <v>8.19</v>
      </c>
      <c r="G63" s="12">
        <v>14215</v>
      </c>
      <c r="H63" s="27">
        <f t="shared" si="2"/>
        <v>762</v>
      </c>
      <c r="I63" s="28">
        <f t="shared" si="3"/>
        <v>5.3980915408646862E-3</v>
      </c>
    </row>
    <row r="64" spans="1:19" ht="15.75" customHeight="1">
      <c r="A64" s="13">
        <v>45586</v>
      </c>
      <c r="B64" s="12" t="s">
        <v>29</v>
      </c>
      <c r="C64" s="12">
        <v>1237</v>
      </c>
      <c r="D64" s="12">
        <v>155</v>
      </c>
      <c r="E64" s="12">
        <v>149916</v>
      </c>
      <c r="F64" s="12">
        <v>4.4800000000000004</v>
      </c>
      <c r="G64" s="12">
        <v>16921</v>
      </c>
      <c r="H64" s="27">
        <f t="shared" si="2"/>
        <v>1082</v>
      </c>
      <c r="I64" s="28">
        <f t="shared" si="3"/>
        <v>7.2173750633688196E-3</v>
      </c>
    </row>
    <row r="65" spans="1:9" ht="15.75" customHeight="1">
      <c r="A65" s="13">
        <v>45593</v>
      </c>
      <c r="B65" s="12" t="s">
        <v>14</v>
      </c>
      <c r="C65" s="12">
        <v>1435</v>
      </c>
      <c r="D65" s="12">
        <v>261</v>
      </c>
      <c r="E65" s="12">
        <v>308533</v>
      </c>
      <c r="F65" s="12">
        <v>4.5199999999999996</v>
      </c>
      <c r="G65" s="12">
        <v>25130</v>
      </c>
      <c r="H65" s="27">
        <f t="shared" si="2"/>
        <v>1174</v>
      </c>
      <c r="I65" s="28">
        <f t="shared" si="3"/>
        <v>3.8051035059458792E-3</v>
      </c>
    </row>
    <row r="66" spans="1:9" ht="15.75" customHeight="1">
      <c r="A66" s="13">
        <v>45593</v>
      </c>
      <c r="B66" s="12" t="s">
        <v>23</v>
      </c>
      <c r="C66" s="12">
        <v>746</v>
      </c>
      <c r="D66" s="12">
        <v>282</v>
      </c>
      <c r="E66" s="12">
        <v>293894</v>
      </c>
      <c r="F66" s="12">
        <v>5.42</v>
      </c>
      <c r="G66" s="12">
        <v>25537</v>
      </c>
      <c r="H66" s="27">
        <f t="shared" ref="H66:H97" si="5">C66-D66</f>
        <v>464</v>
      </c>
      <c r="I66" s="28">
        <f t="shared" ref="I66:I97" si="6">H66/E66</f>
        <v>1.5788005199153436E-3</v>
      </c>
    </row>
    <row r="67" spans="1:9" ht="15.75" customHeight="1">
      <c r="A67" s="13">
        <v>45593</v>
      </c>
      <c r="B67" s="12" t="s">
        <v>29</v>
      </c>
      <c r="C67" s="12">
        <v>759</v>
      </c>
      <c r="D67" s="12">
        <v>216</v>
      </c>
      <c r="E67" s="12">
        <v>147656</v>
      </c>
      <c r="F67" s="12">
        <v>4.08</v>
      </c>
      <c r="G67" s="12">
        <v>24943</v>
      </c>
      <c r="H67" s="27">
        <f t="shared" si="5"/>
        <v>543</v>
      </c>
      <c r="I67" s="28">
        <f t="shared" si="6"/>
        <v>3.6774665438586984E-3</v>
      </c>
    </row>
    <row r="68" spans="1:9" ht="15.75" customHeight="1">
      <c r="A68" s="13">
        <v>45600</v>
      </c>
      <c r="B68" s="12" t="s">
        <v>14</v>
      </c>
      <c r="C68" s="12">
        <v>1437</v>
      </c>
      <c r="D68" s="12">
        <v>235</v>
      </c>
      <c r="E68" s="12">
        <v>326791</v>
      </c>
      <c r="F68" s="12">
        <v>4.0599999999999996</v>
      </c>
      <c r="G68" s="12">
        <v>14563</v>
      </c>
      <c r="H68" s="27">
        <f t="shared" si="5"/>
        <v>1202</v>
      </c>
      <c r="I68" s="28">
        <f t="shared" si="6"/>
        <v>3.6781918718691762E-3</v>
      </c>
    </row>
    <row r="69" spans="1:9" ht="15.75" customHeight="1">
      <c r="A69" s="13">
        <v>45600</v>
      </c>
      <c r="B69" s="12" t="s">
        <v>23</v>
      </c>
      <c r="C69" s="12">
        <v>1463</v>
      </c>
      <c r="D69" s="12">
        <v>73</v>
      </c>
      <c r="E69" s="12">
        <v>348877</v>
      </c>
      <c r="F69" s="12">
        <v>9.91</v>
      </c>
      <c r="G69" s="12">
        <v>26273</v>
      </c>
      <c r="H69" s="27">
        <f t="shared" si="5"/>
        <v>1390</v>
      </c>
      <c r="I69" s="28">
        <f t="shared" si="6"/>
        <v>3.9842122008616216E-3</v>
      </c>
    </row>
    <row r="70" spans="1:9" ht="15.75" customHeight="1">
      <c r="A70" s="13">
        <v>45600</v>
      </c>
      <c r="B70" s="12" t="s">
        <v>29</v>
      </c>
      <c r="C70" s="12">
        <v>1208</v>
      </c>
      <c r="D70" s="12">
        <v>224</v>
      </c>
      <c r="E70" s="12">
        <v>122730</v>
      </c>
      <c r="F70" s="12">
        <v>8.7200000000000006</v>
      </c>
      <c r="G70" s="12">
        <v>10858</v>
      </c>
      <c r="H70" s="27">
        <f t="shared" si="5"/>
        <v>984</v>
      </c>
      <c r="I70" s="28">
        <f t="shared" si="6"/>
        <v>8.0175996088975802E-3</v>
      </c>
    </row>
    <row r="71" spans="1:9" ht="15.75" customHeight="1">
      <c r="A71" s="13">
        <v>45607</v>
      </c>
      <c r="B71" s="12" t="s">
        <v>14</v>
      </c>
      <c r="C71" s="12">
        <v>1391</v>
      </c>
      <c r="D71" s="12">
        <v>187</v>
      </c>
      <c r="E71" s="12">
        <v>306508</v>
      </c>
      <c r="F71" s="12">
        <v>8.3800000000000008</v>
      </c>
      <c r="G71" s="12">
        <v>25038</v>
      </c>
      <c r="H71" s="27">
        <f t="shared" si="5"/>
        <v>1204</v>
      </c>
      <c r="I71" s="28">
        <f t="shared" si="6"/>
        <v>3.9281193313061976E-3</v>
      </c>
    </row>
    <row r="72" spans="1:9" ht="15.75" customHeight="1">
      <c r="A72" s="13">
        <v>45607</v>
      </c>
      <c r="B72" s="12" t="s">
        <v>23</v>
      </c>
      <c r="C72" s="12">
        <v>655</v>
      </c>
      <c r="D72" s="12">
        <v>123</v>
      </c>
      <c r="E72" s="12">
        <v>202472</v>
      </c>
      <c r="F72" s="12">
        <v>7.56</v>
      </c>
      <c r="G72" s="12">
        <v>9092</v>
      </c>
      <c r="H72" s="27">
        <f t="shared" si="5"/>
        <v>532</v>
      </c>
      <c r="I72" s="28">
        <f t="shared" si="6"/>
        <v>2.6275238057607967E-3</v>
      </c>
    </row>
    <row r="73" spans="1:9" ht="15.75" customHeight="1">
      <c r="A73" s="13">
        <v>45607</v>
      </c>
      <c r="B73" s="12" t="s">
        <v>29</v>
      </c>
      <c r="C73" s="12">
        <v>1148</v>
      </c>
      <c r="D73" s="12">
        <v>90</v>
      </c>
      <c r="E73" s="12">
        <v>227249</v>
      </c>
      <c r="F73" s="12">
        <v>7.24</v>
      </c>
      <c r="G73" s="12">
        <v>17662</v>
      </c>
      <c r="H73" s="27">
        <f t="shared" si="5"/>
        <v>1058</v>
      </c>
      <c r="I73" s="28">
        <f t="shared" si="6"/>
        <v>4.6556860536239985E-3</v>
      </c>
    </row>
    <row r="74" spans="1:9" ht="15.75" customHeight="1">
      <c r="A74" s="13">
        <v>45614</v>
      </c>
      <c r="B74" s="12" t="s">
        <v>14</v>
      </c>
      <c r="C74" s="12">
        <v>946</v>
      </c>
      <c r="D74" s="12">
        <v>270</v>
      </c>
      <c r="E74" s="12">
        <v>246567</v>
      </c>
      <c r="F74" s="12">
        <v>4.53</v>
      </c>
      <c r="G74" s="12">
        <v>5924</v>
      </c>
      <c r="H74" s="27">
        <f t="shared" si="5"/>
        <v>676</v>
      </c>
      <c r="I74" s="28">
        <f t="shared" si="6"/>
        <v>2.741648314656868E-3</v>
      </c>
    </row>
    <row r="75" spans="1:9" ht="15.75" customHeight="1">
      <c r="A75" s="13">
        <v>45614</v>
      </c>
      <c r="B75" s="12" t="s">
        <v>23</v>
      </c>
      <c r="C75" s="12">
        <v>791</v>
      </c>
      <c r="D75" s="12">
        <v>214</v>
      </c>
      <c r="E75" s="12">
        <v>114738</v>
      </c>
      <c r="F75" s="12">
        <v>6.62</v>
      </c>
      <c r="G75" s="12">
        <v>25347</v>
      </c>
      <c r="H75" s="27">
        <f t="shared" si="5"/>
        <v>577</v>
      </c>
      <c r="I75" s="28">
        <f t="shared" si="6"/>
        <v>5.0288483327232481E-3</v>
      </c>
    </row>
    <row r="76" spans="1:9" ht="15.75" customHeight="1">
      <c r="A76" s="13">
        <v>45614</v>
      </c>
      <c r="B76" s="12" t="s">
        <v>29</v>
      </c>
      <c r="C76" s="12">
        <v>793</v>
      </c>
      <c r="D76" s="12">
        <v>111</v>
      </c>
      <c r="E76" s="12">
        <v>333500</v>
      </c>
      <c r="F76" s="12">
        <v>6.36</v>
      </c>
      <c r="G76" s="12">
        <v>8910</v>
      </c>
      <c r="H76" s="27">
        <f t="shared" si="5"/>
        <v>682</v>
      </c>
      <c r="I76" s="28">
        <f t="shared" si="6"/>
        <v>2.0449775112443779E-3</v>
      </c>
    </row>
    <row r="77" spans="1:9" ht="15.75" customHeight="1">
      <c r="A77" s="13">
        <v>45621</v>
      </c>
      <c r="B77" s="12" t="s">
        <v>14</v>
      </c>
      <c r="C77" s="12">
        <v>663</v>
      </c>
      <c r="D77" s="12">
        <v>213</v>
      </c>
      <c r="E77" s="12">
        <v>352677</v>
      </c>
      <c r="F77" s="12">
        <v>9</v>
      </c>
      <c r="G77" s="12">
        <v>20438</v>
      </c>
      <c r="H77" s="27">
        <f t="shared" si="5"/>
        <v>450</v>
      </c>
      <c r="I77" s="28">
        <f t="shared" si="6"/>
        <v>1.2759550523566889E-3</v>
      </c>
    </row>
    <row r="78" spans="1:9" ht="15.75" customHeight="1">
      <c r="A78" s="13">
        <v>45621</v>
      </c>
      <c r="B78" s="12" t="s">
        <v>23</v>
      </c>
      <c r="C78" s="12">
        <v>954</v>
      </c>
      <c r="D78" s="12">
        <v>271</v>
      </c>
      <c r="E78" s="12">
        <v>160936</v>
      </c>
      <c r="F78" s="12">
        <v>8.83</v>
      </c>
      <c r="G78" s="12">
        <v>8760</v>
      </c>
      <c r="H78" s="27">
        <f t="shared" si="5"/>
        <v>683</v>
      </c>
      <c r="I78" s="28">
        <f t="shared" si="6"/>
        <v>4.2439230501565839E-3</v>
      </c>
    </row>
    <row r="79" spans="1:9" ht="15.75" customHeight="1">
      <c r="A79" s="13">
        <v>45621</v>
      </c>
      <c r="B79" s="12" t="s">
        <v>29</v>
      </c>
      <c r="C79" s="12">
        <v>1313</v>
      </c>
      <c r="D79" s="12">
        <v>159</v>
      </c>
      <c r="E79" s="12">
        <v>197183</v>
      </c>
      <c r="F79" s="12">
        <v>9.7100000000000009</v>
      </c>
      <c r="G79" s="12">
        <v>6625</v>
      </c>
      <c r="H79" s="27">
        <f t="shared" si="5"/>
        <v>1154</v>
      </c>
      <c r="I79" s="28">
        <f t="shared" si="6"/>
        <v>5.8524314976443207E-3</v>
      </c>
    </row>
    <row r="80" spans="1:9" ht="15.75" customHeight="1">
      <c r="A80" s="13">
        <v>45628</v>
      </c>
      <c r="B80" s="12" t="s">
        <v>14</v>
      </c>
      <c r="C80" s="12">
        <v>895</v>
      </c>
      <c r="D80" s="12">
        <v>87</v>
      </c>
      <c r="E80" s="12">
        <v>171271</v>
      </c>
      <c r="F80" s="12">
        <v>6.68</v>
      </c>
      <c r="G80" s="12">
        <v>23329</v>
      </c>
      <c r="H80" s="27">
        <f t="shared" si="5"/>
        <v>808</v>
      </c>
      <c r="I80" s="28">
        <f t="shared" si="6"/>
        <v>4.7176696580273365E-3</v>
      </c>
    </row>
    <row r="81" spans="1:9" ht="15.75" customHeight="1">
      <c r="A81" s="13">
        <v>45628</v>
      </c>
      <c r="B81" s="12" t="s">
        <v>23</v>
      </c>
      <c r="C81" s="12">
        <v>1027</v>
      </c>
      <c r="D81" s="12">
        <v>156</v>
      </c>
      <c r="E81" s="12">
        <v>111293</v>
      </c>
      <c r="F81" s="12">
        <v>5.51</v>
      </c>
      <c r="G81" s="12">
        <v>7299</v>
      </c>
      <c r="H81" s="27">
        <f t="shared" si="5"/>
        <v>871</v>
      </c>
      <c r="I81" s="28">
        <f t="shared" si="6"/>
        <v>7.8261885293774095E-3</v>
      </c>
    </row>
    <row r="82" spans="1:9" ht="15.75" customHeight="1">
      <c r="A82" s="13">
        <v>45628</v>
      </c>
      <c r="B82" s="12" t="s">
        <v>29</v>
      </c>
      <c r="C82" s="12">
        <v>990</v>
      </c>
      <c r="D82" s="12">
        <v>286</v>
      </c>
      <c r="E82" s="12">
        <v>351493</v>
      </c>
      <c r="F82" s="12">
        <v>7.97</v>
      </c>
      <c r="G82" s="12">
        <v>14496</v>
      </c>
      <c r="H82" s="27">
        <f t="shared" si="5"/>
        <v>704</v>
      </c>
      <c r="I82" s="28">
        <f t="shared" si="6"/>
        <v>2.0028848369668811E-3</v>
      </c>
    </row>
    <row r="83" spans="1:9" ht="15.75" customHeight="1">
      <c r="A83" s="13">
        <v>45635</v>
      </c>
      <c r="B83" s="12" t="s">
        <v>14</v>
      </c>
      <c r="C83" s="12">
        <v>875</v>
      </c>
      <c r="D83" s="12">
        <v>264</v>
      </c>
      <c r="E83" s="12">
        <v>345631</v>
      </c>
      <c r="F83" s="12">
        <v>9.18</v>
      </c>
      <c r="G83" s="12">
        <v>25703</v>
      </c>
      <c r="H83" s="27">
        <f t="shared" si="5"/>
        <v>611</v>
      </c>
      <c r="I83" s="28">
        <f t="shared" si="6"/>
        <v>1.7677812464738406E-3</v>
      </c>
    </row>
    <row r="84" spans="1:9" ht="15.75" customHeight="1">
      <c r="A84" s="13">
        <v>45635</v>
      </c>
      <c r="B84" s="12" t="s">
        <v>23</v>
      </c>
      <c r="C84" s="12">
        <v>599</v>
      </c>
      <c r="D84" s="12">
        <v>194</v>
      </c>
      <c r="E84" s="12">
        <v>105622</v>
      </c>
      <c r="F84" s="12">
        <v>6.44</v>
      </c>
      <c r="G84" s="12">
        <v>15108</v>
      </c>
      <c r="H84" s="27">
        <f t="shared" si="5"/>
        <v>405</v>
      </c>
      <c r="I84" s="28">
        <f t="shared" si="6"/>
        <v>3.8344284334702996E-3</v>
      </c>
    </row>
    <row r="85" spans="1:9" ht="15.75" customHeight="1">
      <c r="A85" s="13">
        <v>45635</v>
      </c>
      <c r="B85" s="12" t="s">
        <v>29</v>
      </c>
      <c r="C85" s="12">
        <v>630</v>
      </c>
      <c r="D85" s="12">
        <v>248</v>
      </c>
      <c r="E85" s="12">
        <v>119054</v>
      </c>
      <c r="F85" s="12">
        <v>5.0199999999999996</v>
      </c>
      <c r="G85" s="12">
        <v>18867</v>
      </c>
      <c r="H85" s="27">
        <f t="shared" si="5"/>
        <v>382</v>
      </c>
      <c r="I85" s="28">
        <f t="shared" si="6"/>
        <v>3.2086280175382597E-3</v>
      </c>
    </row>
    <row r="86" spans="1:9" ht="15.75" customHeight="1">
      <c r="A86" s="13">
        <v>45642</v>
      </c>
      <c r="B86" s="12" t="s">
        <v>14</v>
      </c>
      <c r="C86" s="12">
        <v>1350</v>
      </c>
      <c r="D86" s="12">
        <v>233</v>
      </c>
      <c r="E86" s="12">
        <v>171670</v>
      </c>
      <c r="F86" s="12">
        <v>4.53</v>
      </c>
      <c r="G86" s="12">
        <v>17574</v>
      </c>
      <c r="H86" s="27">
        <f t="shared" si="5"/>
        <v>1117</v>
      </c>
      <c r="I86" s="28">
        <f t="shared" si="6"/>
        <v>6.506669773402458E-3</v>
      </c>
    </row>
    <row r="87" spans="1:9" ht="15.75" customHeight="1">
      <c r="A87" s="13">
        <v>45642</v>
      </c>
      <c r="B87" s="12" t="s">
        <v>23</v>
      </c>
      <c r="C87" s="12">
        <v>632</v>
      </c>
      <c r="D87" s="12">
        <v>155</v>
      </c>
      <c r="E87" s="12">
        <v>170432</v>
      </c>
      <c r="F87" s="12">
        <v>9.17</v>
      </c>
      <c r="G87" s="12">
        <v>12840</v>
      </c>
      <c r="H87" s="27">
        <f t="shared" si="5"/>
        <v>477</v>
      </c>
      <c r="I87" s="28">
        <f t="shared" si="6"/>
        <v>2.7987701840030041E-3</v>
      </c>
    </row>
    <row r="88" spans="1:9" ht="15.75" customHeight="1">
      <c r="A88" s="13">
        <v>45642</v>
      </c>
      <c r="B88" s="12" t="s">
        <v>29</v>
      </c>
      <c r="C88" s="12">
        <v>1182</v>
      </c>
      <c r="D88" s="12">
        <v>83</v>
      </c>
      <c r="E88" s="12">
        <v>140300</v>
      </c>
      <c r="F88" s="12">
        <v>3.27</v>
      </c>
      <c r="G88" s="12">
        <v>21079</v>
      </c>
      <c r="H88" s="27">
        <f t="shared" si="5"/>
        <v>1099</v>
      </c>
      <c r="I88" s="28">
        <f t="shared" si="6"/>
        <v>7.8332145402708487E-3</v>
      </c>
    </row>
    <row r="89" spans="1:9" ht="15.75" customHeight="1">
      <c r="A89" s="13">
        <v>45649</v>
      </c>
      <c r="B89" s="12" t="s">
        <v>14</v>
      </c>
      <c r="C89" s="12">
        <v>661</v>
      </c>
      <c r="D89" s="12">
        <v>94</v>
      </c>
      <c r="E89" s="12">
        <v>116538</v>
      </c>
      <c r="F89" s="12">
        <v>5.31</v>
      </c>
      <c r="G89" s="12">
        <v>23486</v>
      </c>
      <c r="H89" s="27">
        <f t="shared" si="5"/>
        <v>567</v>
      </c>
      <c r="I89" s="28">
        <f t="shared" si="6"/>
        <v>4.8653658034289241E-3</v>
      </c>
    </row>
    <row r="90" spans="1:9" ht="15.75" customHeight="1">
      <c r="A90" s="13">
        <v>45649</v>
      </c>
      <c r="B90" s="12" t="s">
        <v>23</v>
      </c>
      <c r="C90" s="12">
        <v>1360</v>
      </c>
      <c r="D90" s="12">
        <v>227</v>
      </c>
      <c r="E90" s="12">
        <v>176902</v>
      </c>
      <c r="F90" s="12">
        <v>6.03</v>
      </c>
      <c r="G90" s="12">
        <v>5960</v>
      </c>
      <c r="H90" s="27">
        <f t="shared" si="5"/>
        <v>1133</v>
      </c>
      <c r="I90" s="28">
        <f t="shared" si="6"/>
        <v>6.4046760353189906E-3</v>
      </c>
    </row>
    <row r="91" spans="1:9" ht="15.75" customHeight="1">
      <c r="A91" s="13">
        <v>45649</v>
      </c>
      <c r="B91" s="12" t="s">
        <v>29</v>
      </c>
      <c r="C91" s="12">
        <v>935</v>
      </c>
      <c r="D91" s="12">
        <v>85</v>
      </c>
      <c r="E91" s="12">
        <v>326821</v>
      </c>
      <c r="F91" s="12">
        <v>8.89</v>
      </c>
      <c r="G91" s="12">
        <v>13301</v>
      </c>
      <c r="H91" s="27">
        <f t="shared" si="5"/>
        <v>850</v>
      </c>
      <c r="I91" s="28">
        <f t="shared" si="6"/>
        <v>2.60081206532016E-3</v>
      </c>
    </row>
    <row r="92" spans="1:9" ht="15.75" customHeight="1">
      <c r="A92" s="13">
        <v>45656</v>
      </c>
      <c r="B92" s="12" t="s">
        <v>14</v>
      </c>
      <c r="C92" s="12">
        <v>664</v>
      </c>
      <c r="D92" s="12">
        <v>251</v>
      </c>
      <c r="E92" s="12">
        <v>240598</v>
      </c>
      <c r="F92" s="12">
        <v>4.79</v>
      </c>
      <c r="G92" s="12">
        <v>10563</v>
      </c>
      <c r="H92" s="27">
        <f t="shared" si="5"/>
        <v>413</v>
      </c>
      <c r="I92" s="28">
        <f t="shared" si="6"/>
        <v>1.7165562473503519E-3</v>
      </c>
    </row>
    <row r="93" spans="1:9" ht="15.75" customHeight="1">
      <c r="A93" s="13">
        <v>45656</v>
      </c>
      <c r="B93" s="12" t="s">
        <v>23</v>
      </c>
      <c r="C93" s="12">
        <v>1490</v>
      </c>
      <c r="D93" s="12">
        <v>103</v>
      </c>
      <c r="E93" s="12">
        <v>373274</v>
      </c>
      <c r="F93" s="12">
        <v>4.8</v>
      </c>
      <c r="G93" s="12">
        <v>19949</v>
      </c>
      <c r="H93" s="27">
        <f t="shared" si="5"/>
        <v>1387</v>
      </c>
      <c r="I93" s="28">
        <f t="shared" si="6"/>
        <v>3.7157691133055076E-3</v>
      </c>
    </row>
    <row r="94" spans="1:9" ht="15.75" customHeight="1">
      <c r="A94" s="13">
        <v>45656</v>
      </c>
      <c r="B94" s="12" t="s">
        <v>29</v>
      </c>
      <c r="C94" s="12">
        <v>601</v>
      </c>
      <c r="D94" s="12">
        <v>64</v>
      </c>
      <c r="E94" s="12">
        <v>123272</v>
      </c>
      <c r="F94" s="12">
        <v>4.07</v>
      </c>
      <c r="G94" s="12">
        <v>14273</v>
      </c>
      <c r="H94" s="27">
        <f t="shared" si="5"/>
        <v>537</v>
      </c>
      <c r="I94" s="28">
        <f t="shared" si="6"/>
        <v>4.3562203906807708E-3</v>
      </c>
    </row>
    <row r="95" spans="1:9" ht="15.75" customHeight="1">
      <c r="A95" s="13">
        <v>45663</v>
      </c>
      <c r="B95" s="12" t="s">
        <v>14</v>
      </c>
      <c r="C95" s="12">
        <v>613</v>
      </c>
      <c r="D95" s="12">
        <v>170</v>
      </c>
      <c r="E95" s="12">
        <v>139266</v>
      </c>
      <c r="F95" s="12">
        <v>6.06</v>
      </c>
      <c r="G95" s="12">
        <v>9247</v>
      </c>
      <c r="H95" s="27">
        <f t="shared" si="5"/>
        <v>443</v>
      </c>
      <c r="I95" s="28">
        <f t="shared" si="6"/>
        <v>3.1809630491290049E-3</v>
      </c>
    </row>
    <row r="96" spans="1:9" ht="15.75" customHeight="1">
      <c r="A96" s="13">
        <v>45663</v>
      </c>
      <c r="B96" s="12" t="s">
        <v>23</v>
      </c>
      <c r="C96" s="12">
        <v>1340</v>
      </c>
      <c r="D96" s="12">
        <v>57</v>
      </c>
      <c r="E96" s="12">
        <v>155927</v>
      </c>
      <c r="F96" s="12">
        <v>7.79</v>
      </c>
      <c r="G96" s="12">
        <v>11972</v>
      </c>
      <c r="H96" s="27">
        <f t="shared" si="5"/>
        <v>1283</v>
      </c>
      <c r="I96" s="28">
        <f t="shared" si="6"/>
        <v>8.2282093543773697E-3</v>
      </c>
    </row>
    <row r="97" spans="1:9" ht="15.75" customHeight="1">
      <c r="A97" s="13">
        <v>45663</v>
      </c>
      <c r="B97" s="12" t="s">
        <v>29</v>
      </c>
      <c r="C97" s="12">
        <v>953</v>
      </c>
      <c r="D97" s="12">
        <v>228</v>
      </c>
      <c r="E97" s="12">
        <v>258398</v>
      </c>
      <c r="F97" s="12">
        <v>9.0500000000000007</v>
      </c>
      <c r="G97" s="12">
        <v>13314</v>
      </c>
      <c r="H97" s="27">
        <f t="shared" si="5"/>
        <v>725</v>
      </c>
      <c r="I97" s="28">
        <f t="shared" si="6"/>
        <v>2.8057492705051896E-3</v>
      </c>
    </row>
    <row r="98" spans="1:9" ht="15.75" customHeight="1">
      <c r="A98" s="13">
        <v>45670</v>
      </c>
      <c r="B98" s="12" t="s">
        <v>14</v>
      </c>
      <c r="C98" s="12">
        <v>532</v>
      </c>
      <c r="D98" s="12">
        <v>65</v>
      </c>
      <c r="E98" s="12">
        <v>338561</v>
      </c>
      <c r="F98" s="12">
        <v>3.5</v>
      </c>
      <c r="G98" s="12">
        <v>14749</v>
      </c>
      <c r="H98" s="27">
        <f t="shared" ref="H98:H129" si="7">C98-D98</f>
        <v>467</v>
      </c>
      <c r="I98" s="28">
        <f t="shared" ref="I98:I129" si="8">H98/E98</f>
        <v>1.3793673813581599E-3</v>
      </c>
    </row>
    <row r="99" spans="1:9" ht="15.75" customHeight="1">
      <c r="A99" s="13">
        <v>45670</v>
      </c>
      <c r="B99" s="12" t="s">
        <v>23</v>
      </c>
      <c r="C99" s="12">
        <v>1414</v>
      </c>
      <c r="D99" s="12">
        <v>60</v>
      </c>
      <c r="E99" s="12">
        <v>341856</v>
      </c>
      <c r="F99" s="12">
        <v>8.76</v>
      </c>
      <c r="G99" s="12">
        <v>6868</v>
      </c>
      <c r="H99" s="27">
        <f t="shared" si="7"/>
        <v>1354</v>
      </c>
      <c r="I99" s="28">
        <f t="shared" si="8"/>
        <v>3.960732004118693E-3</v>
      </c>
    </row>
    <row r="100" spans="1:9" ht="15.75" customHeight="1">
      <c r="A100" s="13">
        <v>45670</v>
      </c>
      <c r="B100" s="12" t="s">
        <v>29</v>
      </c>
      <c r="C100" s="12">
        <v>685</v>
      </c>
      <c r="D100" s="12">
        <v>165</v>
      </c>
      <c r="E100" s="12">
        <v>175860</v>
      </c>
      <c r="F100" s="12">
        <v>6.26</v>
      </c>
      <c r="G100" s="12">
        <v>6027</v>
      </c>
      <c r="H100" s="27">
        <f t="shared" si="7"/>
        <v>520</v>
      </c>
      <c r="I100" s="28">
        <f t="shared" si="8"/>
        <v>2.9568975321278288E-3</v>
      </c>
    </row>
    <row r="101" spans="1:9" ht="15.75" customHeight="1">
      <c r="A101" s="13">
        <v>45677</v>
      </c>
      <c r="B101" s="12" t="s">
        <v>14</v>
      </c>
      <c r="C101" s="12">
        <v>601</v>
      </c>
      <c r="D101" s="12">
        <v>159</v>
      </c>
      <c r="E101" s="12">
        <v>327722</v>
      </c>
      <c r="F101" s="12">
        <v>3.33</v>
      </c>
      <c r="G101" s="12">
        <v>25267</v>
      </c>
      <c r="H101" s="27">
        <f t="shared" si="7"/>
        <v>442</v>
      </c>
      <c r="I101" s="28">
        <f t="shared" si="8"/>
        <v>1.3487040845594743E-3</v>
      </c>
    </row>
    <row r="102" spans="1:9" ht="15.75" customHeight="1">
      <c r="A102" s="13">
        <v>45677</v>
      </c>
      <c r="B102" s="12" t="s">
        <v>23</v>
      </c>
      <c r="C102" s="12">
        <v>841</v>
      </c>
      <c r="D102" s="12">
        <v>295</v>
      </c>
      <c r="E102" s="12">
        <v>271638</v>
      </c>
      <c r="F102" s="12">
        <v>9.15</v>
      </c>
      <c r="G102" s="12">
        <v>5900</v>
      </c>
      <c r="H102" s="27">
        <f t="shared" si="7"/>
        <v>546</v>
      </c>
      <c r="I102" s="28">
        <f t="shared" si="8"/>
        <v>2.0100280520398473E-3</v>
      </c>
    </row>
    <row r="103" spans="1:9" ht="15.75" customHeight="1">
      <c r="A103" s="13">
        <v>45677</v>
      </c>
      <c r="B103" s="12" t="s">
        <v>29</v>
      </c>
      <c r="C103" s="12">
        <v>1105</v>
      </c>
      <c r="D103" s="12">
        <v>261</v>
      </c>
      <c r="E103" s="12">
        <v>333851</v>
      </c>
      <c r="F103" s="12">
        <v>6.03</v>
      </c>
      <c r="G103" s="12">
        <v>11181</v>
      </c>
      <c r="H103" s="27">
        <f t="shared" si="7"/>
        <v>844</v>
      </c>
      <c r="I103" s="28">
        <f t="shared" si="8"/>
        <v>2.5280739012313877E-3</v>
      </c>
    </row>
    <row r="104" spans="1:9" ht="15.75" customHeight="1">
      <c r="A104" s="13">
        <v>45684</v>
      </c>
      <c r="B104" s="12" t="s">
        <v>14</v>
      </c>
      <c r="C104" s="12">
        <v>566</v>
      </c>
      <c r="D104" s="12">
        <v>225</v>
      </c>
      <c r="E104" s="12">
        <v>368984</v>
      </c>
      <c r="F104" s="12">
        <v>9.82</v>
      </c>
      <c r="G104" s="12">
        <v>9592</v>
      </c>
      <c r="H104" s="27">
        <f t="shared" si="7"/>
        <v>341</v>
      </c>
      <c r="I104" s="28">
        <f t="shared" si="8"/>
        <v>9.2415931314094918E-4</v>
      </c>
    </row>
    <row r="105" spans="1:9" ht="15.75" customHeight="1">
      <c r="A105" s="13">
        <v>45684</v>
      </c>
      <c r="B105" s="12" t="s">
        <v>23</v>
      </c>
      <c r="C105" s="12">
        <v>1149</v>
      </c>
      <c r="D105" s="12">
        <v>280</v>
      </c>
      <c r="E105" s="12">
        <v>167310</v>
      </c>
      <c r="F105" s="12">
        <v>3.7</v>
      </c>
      <c r="G105" s="12">
        <v>5291</v>
      </c>
      <c r="H105" s="27">
        <f t="shared" si="7"/>
        <v>869</v>
      </c>
      <c r="I105" s="28">
        <f t="shared" si="8"/>
        <v>5.1939513477975013E-3</v>
      </c>
    </row>
    <row r="106" spans="1:9" ht="15.75" customHeight="1">
      <c r="A106" s="13">
        <v>45684</v>
      </c>
      <c r="B106" s="12" t="s">
        <v>29</v>
      </c>
      <c r="C106" s="12">
        <v>819</v>
      </c>
      <c r="D106" s="12">
        <v>101</v>
      </c>
      <c r="E106" s="12">
        <v>194811</v>
      </c>
      <c r="F106" s="12">
        <v>3.35</v>
      </c>
      <c r="G106" s="12">
        <v>22244</v>
      </c>
      <c r="H106" s="27">
        <f t="shared" si="7"/>
        <v>718</v>
      </c>
      <c r="I106" s="28">
        <f t="shared" si="8"/>
        <v>3.685623501752981E-3</v>
      </c>
    </row>
    <row r="107" spans="1:9" ht="15.75" customHeight="1">
      <c r="A107" s="13">
        <v>45691</v>
      </c>
      <c r="B107" s="12" t="s">
        <v>14</v>
      </c>
      <c r="C107" s="12">
        <v>795</v>
      </c>
      <c r="D107" s="12">
        <v>60</v>
      </c>
      <c r="E107" s="12">
        <v>314982</v>
      </c>
      <c r="F107" s="12">
        <v>7.31</v>
      </c>
      <c r="G107" s="12">
        <v>6824</v>
      </c>
      <c r="H107" s="27">
        <f t="shared" si="7"/>
        <v>735</v>
      </c>
      <c r="I107" s="28">
        <f t="shared" si="8"/>
        <v>2.3334666742861497E-3</v>
      </c>
    </row>
    <row r="108" spans="1:9" ht="15.75" customHeight="1">
      <c r="A108" s="13">
        <v>45691</v>
      </c>
      <c r="B108" s="12" t="s">
        <v>23</v>
      </c>
      <c r="C108" s="12">
        <v>681</v>
      </c>
      <c r="D108" s="12">
        <v>158</v>
      </c>
      <c r="E108" s="12">
        <v>75960</v>
      </c>
      <c r="F108" s="12">
        <v>3.13</v>
      </c>
      <c r="G108" s="12">
        <v>24112</v>
      </c>
      <c r="H108" s="27">
        <f t="shared" si="7"/>
        <v>523</v>
      </c>
      <c r="I108" s="28">
        <f t="shared" si="8"/>
        <v>6.8852027382833069E-3</v>
      </c>
    </row>
    <row r="109" spans="1:9" ht="15.75" customHeight="1">
      <c r="A109" s="13">
        <v>45691</v>
      </c>
      <c r="B109" s="12" t="s">
        <v>29</v>
      </c>
      <c r="C109" s="12">
        <v>534</v>
      </c>
      <c r="D109" s="12">
        <v>112</v>
      </c>
      <c r="E109" s="12">
        <v>360759</v>
      </c>
      <c r="F109" s="12">
        <v>4.8899999999999997</v>
      </c>
      <c r="G109" s="12">
        <v>25478</v>
      </c>
      <c r="H109" s="27">
        <f t="shared" si="7"/>
        <v>422</v>
      </c>
      <c r="I109" s="28">
        <f t="shared" si="8"/>
        <v>1.1697559866836308E-3</v>
      </c>
    </row>
    <row r="110" spans="1:9" ht="15.75" customHeight="1">
      <c r="A110" s="13">
        <v>45698</v>
      </c>
      <c r="B110" s="12" t="s">
        <v>14</v>
      </c>
      <c r="C110" s="12">
        <v>1066</v>
      </c>
      <c r="D110" s="12">
        <v>151</v>
      </c>
      <c r="E110" s="12">
        <v>297090</v>
      </c>
      <c r="F110" s="12">
        <v>8.6300000000000008</v>
      </c>
      <c r="G110" s="12">
        <v>11235</v>
      </c>
      <c r="H110" s="27">
        <f t="shared" si="7"/>
        <v>915</v>
      </c>
      <c r="I110" s="28">
        <f t="shared" si="8"/>
        <v>3.0798747854185599E-3</v>
      </c>
    </row>
    <row r="111" spans="1:9" ht="15.75" customHeight="1">
      <c r="A111" s="13">
        <v>45698</v>
      </c>
      <c r="B111" s="12" t="s">
        <v>23</v>
      </c>
      <c r="C111" s="12">
        <v>1270</v>
      </c>
      <c r="D111" s="12">
        <v>162</v>
      </c>
      <c r="E111" s="12">
        <v>92040</v>
      </c>
      <c r="F111" s="12">
        <v>8.0299999999999994</v>
      </c>
      <c r="G111" s="12">
        <v>6120</v>
      </c>
      <c r="H111" s="27">
        <f t="shared" si="7"/>
        <v>1108</v>
      </c>
      <c r="I111" s="28">
        <f t="shared" si="8"/>
        <v>1.2038244241634072E-2</v>
      </c>
    </row>
    <row r="112" spans="1:9" ht="15.75" customHeight="1">
      <c r="A112" s="13">
        <v>45698</v>
      </c>
      <c r="B112" s="12" t="s">
        <v>29</v>
      </c>
      <c r="C112" s="12">
        <v>536</v>
      </c>
      <c r="D112" s="12">
        <v>198</v>
      </c>
      <c r="E112" s="12">
        <v>174610</v>
      </c>
      <c r="F112" s="12">
        <v>7.85</v>
      </c>
      <c r="G112" s="12">
        <v>20572</v>
      </c>
      <c r="H112" s="27">
        <f t="shared" si="7"/>
        <v>338</v>
      </c>
      <c r="I112" s="28">
        <f t="shared" si="8"/>
        <v>1.9357425118836263E-3</v>
      </c>
    </row>
    <row r="113" spans="1:9" ht="15.75" customHeight="1">
      <c r="A113" s="13">
        <v>45705</v>
      </c>
      <c r="B113" s="12" t="s">
        <v>14</v>
      </c>
      <c r="C113" s="12">
        <v>819</v>
      </c>
      <c r="D113" s="12">
        <v>95</v>
      </c>
      <c r="E113" s="12">
        <v>177376</v>
      </c>
      <c r="F113" s="12">
        <v>6.12</v>
      </c>
      <c r="G113" s="12">
        <v>14975</v>
      </c>
      <c r="H113" s="27">
        <f t="shared" si="7"/>
        <v>724</v>
      </c>
      <c r="I113" s="28">
        <f t="shared" si="8"/>
        <v>4.0817246978170664E-3</v>
      </c>
    </row>
    <row r="114" spans="1:9" ht="15.75" customHeight="1">
      <c r="A114" s="13">
        <v>45705</v>
      </c>
      <c r="B114" s="12" t="s">
        <v>23</v>
      </c>
      <c r="C114" s="12">
        <v>681</v>
      </c>
      <c r="D114" s="12">
        <v>218</v>
      </c>
      <c r="E114" s="12">
        <v>198882</v>
      </c>
      <c r="F114" s="12">
        <v>7.16</v>
      </c>
      <c r="G114" s="12">
        <v>22234</v>
      </c>
      <c r="H114" s="27">
        <f t="shared" si="7"/>
        <v>463</v>
      </c>
      <c r="I114" s="28">
        <f t="shared" si="8"/>
        <v>2.3280135960016494E-3</v>
      </c>
    </row>
    <row r="115" spans="1:9" ht="15.75" customHeight="1">
      <c r="A115" s="13">
        <v>45705</v>
      </c>
      <c r="B115" s="12" t="s">
        <v>29</v>
      </c>
      <c r="C115" s="12">
        <v>646</v>
      </c>
      <c r="D115" s="12">
        <v>290</v>
      </c>
      <c r="E115" s="12">
        <v>336383</v>
      </c>
      <c r="F115" s="12">
        <v>7.04</v>
      </c>
      <c r="G115" s="12">
        <v>6532</v>
      </c>
      <c r="H115" s="27">
        <f t="shared" si="7"/>
        <v>356</v>
      </c>
      <c r="I115" s="28">
        <f t="shared" si="8"/>
        <v>1.0583174536168594E-3</v>
      </c>
    </row>
    <row r="116" spans="1:9" ht="15.75" customHeight="1">
      <c r="A116" s="13">
        <v>45712</v>
      </c>
      <c r="B116" s="12" t="s">
        <v>14</v>
      </c>
      <c r="C116" s="12">
        <v>645</v>
      </c>
      <c r="D116" s="12">
        <v>267</v>
      </c>
      <c r="E116" s="12">
        <v>346890</v>
      </c>
      <c r="F116" s="12">
        <v>3.71</v>
      </c>
      <c r="G116" s="12">
        <v>24858</v>
      </c>
      <c r="H116" s="27">
        <f t="shared" si="7"/>
        <v>378</v>
      </c>
      <c r="I116" s="28">
        <f t="shared" si="8"/>
        <v>1.0896826083196401E-3</v>
      </c>
    </row>
    <row r="117" spans="1:9" ht="15.75" customHeight="1">
      <c r="A117" s="13">
        <v>45712</v>
      </c>
      <c r="B117" s="12" t="s">
        <v>23</v>
      </c>
      <c r="C117" s="12">
        <v>886</v>
      </c>
      <c r="D117" s="12">
        <v>250</v>
      </c>
      <c r="E117" s="12">
        <v>168170</v>
      </c>
      <c r="F117" s="12">
        <v>4.12</v>
      </c>
      <c r="G117" s="12">
        <v>13883</v>
      </c>
      <c r="H117" s="27">
        <f t="shared" si="7"/>
        <v>636</v>
      </c>
      <c r="I117" s="28">
        <f t="shared" si="8"/>
        <v>3.7818873758696555E-3</v>
      </c>
    </row>
    <row r="118" spans="1:9" ht="15.75" customHeight="1">
      <c r="A118" s="13">
        <v>45712</v>
      </c>
      <c r="B118" s="12" t="s">
        <v>29</v>
      </c>
      <c r="C118" s="12">
        <v>978</v>
      </c>
      <c r="D118" s="12">
        <v>279</v>
      </c>
      <c r="E118" s="12">
        <v>368872</v>
      </c>
      <c r="F118" s="12">
        <v>6.82</v>
      </c>
      <c r="G118" s="12">
        <v>18654</v>
      </c>
      <c r="H118" s="27">
        <f t="shared" si="7"/>
        <v>699</v>
      </c>
      <c r="I118" s="28">
        <f t="shared" si="8"/>
        <v>1.8949662755644234E-3</v>
      </c>
    </row>
    <row r="119" spans="1:9" ht="15.75" customHeight="1">
      <c r="A119" s="13">
        <v>45719</v>
      </c>
      <c r="B119" s="12" t="s">
        <v>14</v>
      </c>
      <c r="C119" s="12">
        <v>1444</v>
      </c>
      <c r="D119" s="12">
        <v>165</v>
      </c>
      <c r="E119" s="12">
        <v>116436</v>
      </c>
      <c r="F119" s="12">
        <v>8.2200000000000006</v>
      </c>
      <c r="G119" s="12">
        <v>25234</v>
      </c>
      <c r="H119" s="27">
        <f t="shared" si="7"/>
        <v>1279</v>
      </c>
      <c r="I119" s="28">
        <f t="shared" si="8"/>
        <v>1.0984575217286749E-2</v>
      </c>
    </row>
    <row r="120" spans="1:9" ht="15.75" customHeight="1">
      <c r="A120" s="13">
        <v>45719</v>
      </c>
      <c r="B120" s="12" t="s">
        <v>23</v>
      </c>
      <c r="C120" s="12">
        <v>1234</v>
      </c>
      <c r="D120" s="12">
        <v>228</v>
      </c>
      <c r="E120" s="12">
        <v>127502</v>
      </c>
      <c r="F120" s="12">
        <v>7.71</v>
      </c>
      <c r="G120" s="12">
        <v>6772</v>
      </c>
      <c r="H120" s="27">
        <f t="shared" si="7"/>
        <v>1006</v>
      </c>
      <c r="I120" s="28">
        <f t="shared" si="8"/>
        <v>7.8900723125911749E-3</v>
      </c>
    </row>
    <row r="121" spans="1:9" ht="15.75" customHeight="1">
      <c r="A121" s="13">
        <v>45719</v>
      </c>
      <c r="B121" s="12" t="s">
        <v>29</v>
      </c>
      <c r="C121" s="12">
        <v>665</v>
      </c>
      <c r="D121" s="12">
        <v>187</v>
      </c>
      <c r="E121" s="12">
        <v>274567</v>
      </c>
      <c r="F121" s="12">
        <v>7.39</v>
      </c>
      <c r="G121" s="12">
        <v>22428</v>
      </c>
      <c r="H121" s="27">
        <f t="shared" si="7"/>
        <v>478</v>
      </c>
      <c r="I121" s="28">
        <f t="shared" si="8"/>
        <v>1.7409229805475531E-3</v>
      </c>
    </row>
    <row r="122" spans="1:9" ht="15.75" customHeight="1">
      <c r="A122" s="13">
        <v>45726</v>
      </c>
      <c r="B122" s="12" t="s">
        <v>14</v>
      </c>
      <c r="C122" s="12">
        <v>631</v>
      </c>
      <c r="D122" s="12">
        <v>86</v>
      </c>
      <c r="E122" s="12">
        <v>295090</v>
      </c>
      <c r="F122" s="12">
        <v>7.89</v>
      </c>
      <c r="G122" s="12">
        <v>11911</v>
      </c>
      <c r="H122" s="27">
        <f t="shared" si="7"/>
        <v>545</v>
      </c>
      <c r="I122" s="28">
        <f t="shared" si="8"/>
        <v>1.8468941678809856E-3</v>
      </c>
    </row>
    <row r="123" spans="1:9" ht="15.75" customHeight="1">
      <c r="A123" s="13">
        <v>45726</v>
      </c>
      <c r="B123" s="12" t="s">
        <v>23</v>
      </c>
      <c r="C123" s="12">
        <v>1159</v>
      </c>
      <c r="D123" s="12">
        <v>154</v>
      </c>
      <c r="E123" s="12">
        <v>194994</v>
      </c>
      <c r="F123" s="12">
        <v>6.39</v>
      </c>
      <c r="G123" s="12">
        <v>21900</v>
      </c>
      <c r="H123" s="27">
        <f t="shared" si="7"/>
        <v>1005</v>
      </c>
      <c r="I123" s="28">
        <f t="shared" si="8"/>
        <v>5.1540047386073422E-3</v>
      </c>
    </row>
    <row r="124" spans="1:9" ht="15.75" customHeight="1">
      <c r="A124" s="13">
        <v>45726</v>
      </c>
      <c r="B124" s="12" t="s">
        <v>29</v>
      </c>
      <c r="C124" s="12">
        <v>950</v>
      </c>
      <c r="D124" s="12">
        <v>185</v>
      </c>
      <c r="E124" s="12">
        <v>340750</v>
      </c>
      <c r="F124" s="12">
        <v>6.77</v>
      </c>
      <c r="G124" s="12">
        <v>25542</v>
      </c>
      <c r="H124" s="27">
        <f t="shared" si="7"/>
        <v>765</v>
      </c>
      <c r="I124" s="28">
        <f t="shared" si="8"/>
        <v>2.2450476889214967E-3</v>
      </c>
    </row>
    <row r="125" spans="1:9" ht="15.75" customHeight="1">
      <c r="A125" s="13">
        <v>45733</v>
      </c>
      <c r="B125" s="12" t="s">
        <v>14</v>
      </c>
      <c r="C125" s="12">
        <v>693</v>
      </c>
      <c r="D125" s="12">
        <v>129</v>
      </c>
      <c r="E125" s="12">
        <v>296031</v>
      </c>
      <c r="F125" s="12">
        <v>3.41</v>
      </c>
      <c r="G125" s="12">
        <v>7140</v>
      </c>
      <c r="H125" s="27">
        <f t="shared" si="7"/>
        <v>564</v>
      </c>
      <c r="I125" s="28">
        <f t="shared" si="8"/>
        <v>1.9052058737091724E-3</v>
      </c>
    </row>
    <row r="126" spans="1:9" ht="15.75" customHeight="1">
      <c r="A126" s="13">
        <v>45733</v>
      </c>
      <c r="B126" s="12" t="s">
        <v>23</v>
      </c>
      <c r="C126" s="12">
        <v>576</v>
      </c>
      <c r="D126" s="12">
        <v>80</v>
      </c>
      <c r="E126" s="12">
        <v>345688</v>
      </c>
      <c r="F126" s="12">
        <v>4.1100000000000003</v>
      </c>
      <c r="G126" s="12">
        <v>20474</v>
      </c>
      <c r="H126" s="27">
        <f t="shared" si="7"/>
        <v>496</v>
      </c>
      <c r="I126" s="28">
        <f t="shared" si="8"/>
        <v>1.4348198375413667E-3</v>
      </c>
    </row>
    <row r="127" spans="1:9" ht="15.75" customHeight="1">
      <c r="A127" s="13">
        <v>45733</v>
      </c>
      <c r="B127" s="12" t="s">
        <v>29</v>
      </c>
      <c r="C127" s="12">
        <v>1274</v>
      </c>
      <c r="D127" s="12">
        <v>146</v>
      </c>
      <c r="E127" s="12">
        <v>263488</v>
      </c>
      <c r="F127" s="12">
        <v>9.58</v>
      </c>
      <c r="G127" s="12">
        <v>8698</v>
      </c>
      <c r="H127" s="27">
        <f t="shared" si="7"/>
        <v>1128</v>
      </c>
      <c r="I127" s="28">
        <f t="shared" si="8"/>
        <v>4.2810298761233904E-3</v>
      </c>
    </row>
    <row r="128" spans="1:9" ht="15.75" customHeight="1">
      <c r="A128" s="13">
        <v>45740</v>
      </c>
      <c r="B128" s="12" t="s">
        <v>14</v>
      </c>
      <c r="C128" s="12">
        <v>818</v>
      </c>
      <c r="D128" s="12">
        <v>253</v>
      </c>
      <c r="E128" s="12">
        <v>184911</v>
      </c>
      <c r="F128" s="12">
        <v>3.39</v>
      </c>
      <c r="G128" s="12">
        <v>10402</v>
      </c>
      <c r="H128" s="27">
        <f t="shared" si="7"/>
        <v>565</v>
      </c>
      <c r="I128" s="28">
        <f t="shared" si="8"/>
        <v>3.0555240088474996E-3</v>
      </c>
    </row>
    <row r="129" spans="1:9" ht="15.75" customHeight="1">
      <c r="A129" s="13">
        <v>45740</v>
      </c>
      <c r="B129" s="12" t="s">
        <v>23</v>
      </c>
      <c r="C129" s="12">
        <v>975</v>
      </c>
      <c r="D129" s="12">
        <v>162</v>
      </c>
      <c r="E129" s="12">
        <v>124497</v>
      </c>
      <c r="F129" s="12">
        <v>9.58</v>
      </c>
      <c r="G129" s="12">
        <v>26618</v>
      </c>
      <c r="H129" s="27">
        <f t="shared" si="7"/>
        <v>813</v>
      </c>
      <c r="I129" s="28">
        <f t="shared" si="8"/>
        <v>6.5302778380201933E-3</v>
      </c>
    </row>
    <row r="130" spans="1:9" ht="15.75" customHeight="1">
      <c r="A130" s="13">
        <v>45740</v>
      </c>
      <c r="B130" s="12" t="s">
        <v>29</v>
      </c>
      <c r="C130" s="12">
        <v>1398</v>
      </c>
      <c r="D130" s="12">
        <v>97</v>
      </c>
      <c r="E130" s="12">
        <v>397607</v>
      </c>
      <c r="F130" s="12">
        <v>5.09</v>
      </c>
      <c r="G130" s="12">
        <v>7975</v>
      </c>
      <c r="H130" s="27">
        <f t="shared" ref="H130:H161" si="9">C130-D130</f>
        <v>1301</v>
      </c>
      <c r="I130" s="28">
        <f t="shared" ref="I130:I161" si="10">H130/E130</f>
        <v>3.2720751898231166E-3</v>
      </c>
    </row>
    <row r="131" spans="1:9" ht="15.75" customHeight="1">
      <c r="A131" s="13">
        <v>45747</v>
      </c>
      <c r="B131" s="12" t="s">
        <v>14</v>
      </c>
      <c r="C131" s="12">
        <v>591</v>
      </c>
      <c r="D131" s="12">
        <v>155</v>
      </c>
      <c r="E131" s="12">
        <v>138521</v>
      </c>
      <c r="F131" s="12">
        <v>7.85</v>
      </c>
      <c r="G131" s="12">
        <v>19054</v>
      </c>
      <c r="H131" s="27">
        <f t="shared" si="9"/>
        <v>436</v>
      </c>
      <c r="I131" s="28">
        <f t="shared" si="10"/>
        <v>3.1475371965261584E-3</v>
      </c>
    </row>
    <row r="132" spans="1:9" ht="15.75" customHeight="1">
      <c r="A132" s="13">
        <v>45747</v>
      </c>
      <c r="B132" s="12" t="s">
        <v>23</v>
      </c>
      <c r="C132" s="12">
        <v>1232</v>
      </c>
      <c r="D132" s="12">
        <v>254</v>
      </c>
      <c r="E132" s="12">
        <v>107718</v>
      </c>
      <c r="F132" s="12">
        <v>9.7100000000000009</v>
      </c>
      <c r="G132" s="12">
        <v>13740</v>
      </c>
      <c r="H132" s="27">
        <f t="shared" si="9"/>
        <v>978</v>
      </c>
      <c r="I132" s="28">
        <f t="shared" si="10"/>
        <v>9.0792625187990864E-3</v>
      </c>
    </row>
    <row r="133" spans="1:9" ht="15.75" customHeight="1">
      <c r="A133" s="13">
        <v>45747</v>
      </c>
      <c r="B133" s="12" t="s">
        <v>29</v>
      </c>
      <c r="C133" s="12">
        <v>1425</v>
      </c>
      <c r="D133" s="12">
        <v>58</v>
      </c>
      <c r="E133" s="12">
        <v>202234</v>
      </c>
      <c r="F133" s="12">
        <v>6.67</v>
      </c>
      <c r="G133" s="12">
        <v>18442</v>
      </c>
      <c r="H133" s="27">
        <f t="shared" si="9"/>
        <v>1367</v>
      </c>
      <c r="I133" s="28">
        <f t="shared" si="10"/>
        <v>6.7594964249334932E-3</v>
      </c>
    </row>
    <row r="134" spans="1:9" ht="15.75" customHeight="1">
      <c r="A134" s="13">
        <v>45754</v>
      </c>
      <c r="B134" s="12" t="s">
        <v>14</v>
      </c>
      <c r="C134" s="12">
        <v>1417</v>
      </c>
      <c r="D134" s="12">
        <v>80</v>
      </c>
      <c r="E134" s="12">
        <v>340987</v>
      </c>
      <c r="F134" s="12">
        <v>6.13</v>
      </c>
      <c r="G134" s="12">
        <v>10104</v>
      </c>
      <c r="H134" s="27">
        <f t="shared" si="9"/>
        <v>1337</v>
      </c>
      <c r="I134" s="28">
        <f t="shared" si="10"/>
        <v>3.9209705941868752E-3</v>
      </c>
    </row>
    <row r="135" spans="1:9" ht="15.75" customHeight="1">
      <c r="A135" s="13">
        <v>45754</v>
      </c>
      <c r="B135" s="12" t="s">
        <v>23</v>
      </c>
      <c r="C135" s="12">
        <v>1222</v>
      </c>
      <c r="D135" s="12">
        <v>208</v>
      </c>
      <c r="E135" s="12">
        <v>340098</v>
      </c>
      <c r="F135" s="12">
        <v>7.34</v>
      </c>
      <c r="G135" s="12">
        <v>21771</v>
      </c>
      <c r="H135" s="27">
        <f t="shared" si="9"/>
        <v>1014</v>
      </c>
      <c r="I135" s="28">
        <f t="shared" si="10"/>
        <v>2.9814935695005556E-3</v>
      </c>
    </row>
    <row r="136" spans="1:9" ht="15.75" customHeight="1">
      <c r="A136" s="13">
        <v>45754</v>
      </c>
      <c r="B136" s="12" t="s">
        <v>29</v>
      </c>
      <c r="C136" s="12">
        <v>1071</v>
      </c>
      <c r="D136" s="12">
        <v>131</v>
      </c>
      <c r="E136" s="12">
        <v>254727</v>
      </c>
      <c r="F136" s="12">
        <v>6.87</v>
      </c>
      <c r="G136" s="12">
        <v>22191</v>
      </c>
      <c r="H136" s="27">
        <f t="shared" si="9"/>
        <v>940</v>
      </c>
      <c r="I136" s="28">
        <f t="shared" si="10"/>
        <v>3.6902252215116576E-3</v>
      </c>
    </row>
    <row r="137" spans="1:9" ht="15.75" customHeight="1">
      <c r="A137" s="13">
        <v>45761</v>
      </c>
      <c r="B137" s="12" t="s">
        <v>14</v>
      </c>
      <c r="C137" s="12">
        <v>772</v>
      </c>
      <c r="D137" s="12">
        <v>82</v>
      </c>
      <c r="E137" s="12">
        <v>345659</v>
      </c>
      <c r="F137" s="12">
        <v>3.52</v>
      </c>
      <c r="G137" s="12">
        <v>27753</v>
      </c>
      <c r="H137" s="27">
        <f t="shared" si="9"/>
        <v>690</v>
      </c>
      <c r="I137" s="28">
        <f t="shared" si="10"/>
        <v>1.9961869935398759E-3</v>
      </c>
    </row>
    <row r="138" spans="1:9" ht="15.75" customHeight="1">
      <c r="A138" s="13">
        <v>45761</v>
      </c>
      <c r="B138" s="12" t="s">
        <v>23</v>
      </c>
      <c r="C138" s="12">
        <v>1472</v>
      </c>
      <c r="D138" s="12">
        <v>137</v>
      </c>
      <c r="E138" s="12">
        <v>213950</v>
      </c>
      <c r="F138" s="12">
        <v>6.96</v>
      </c>
      <c r="G138" s="12">
        <v>23736</v>
      </c>
      <c r="H138" s="27">
        <f t="shared" si="9"/>
        <v>1335</v>
      </c>
      <c r="I138" s="28">
        <f t="shared" si="10"/>
        <v>6.2397756485160086E-3</v>
      </c>
    </row>
    <row r="139" spans="1:9" ht="15.75" customHeight="1">
      <c r="A139" s="13">
        <v>45761</v>
      </c>
      <c r="B139" s="12" t="s">
        <v>29</v>
      </c>
      <c r="C139" s="12">
        <v>1472</v>
      </c>
      <c r="D139" s="12">
        <v>281</v>
      </c>
      <c r="E139" s="12">
        <v>258115</v>
      </c>
      <c r="F139" s="12">
        <v>7.23</v>
      </c>
      <c r="G139" s="12">
        <v>27393</v>
      </c>
      <c r="H139" s="27">
        <f t="shared" si="9"/>
        <v>1191</v>
      </c>
      <c r="I139" s="28">
        <f t="shared" si="10"/>
        <v>4.6142223427541986E-3</v>
      </c>
    </row>
    <row r="140" spans="1:9" ht="15.75" customHeight="1">
      <c r="A140" s="13">
        <v>45768</v>
      </c>
      <c r="B140" s="12" t="s">
        <v>14</v>
      </c>
      <c r="C140" s="12">
        <v>585</v>
      </c>
      <c r="D140" s="12">
        <v>232</v>
      </c>
      <c r="E140" s="12">
        <v>321258</v>
      </c>
      <c r="F140" s="12">
        <v>7.42</v>
      </c>
      <c r="G140" s="12">
        <v>10343</v>
      </c>
      <c r="H140" s="27">
        <f t="shared" si="9"/>
        <v>353</v>
      </c>
      <c r="I140" s="28">
        <f t="shared" si="10"/>
        <v>1.0988053215795403E-3</v>
      </c>
    </row>
    <row r="141" spans="1:9" ht="15.75" customHeight="1">
      <c r="A141" s="13">
        <v>45768</v>
      </c>
      <c r="B141" s="12" t="s">
        <v>23</v>
      </c>
      <c r="C141" s="12">
        <v>747</v>
      </c>
      <c r="D141" s="12">
        <v>261</v>
      </c>
      <c r="E141" s="12">
        <v>338650</v>
      </c>
      <c r="F141" s="12">
        <v>7.73</v>
      </c>
      <c r="G141" s="12">
        <v>25259</v>
      </c>
      <c r="H141" s="27">
        <f t="shared" si="9"/>
        <v>486</v>
      </c>
      <c r="I141" s="28">
        <f t="shared" si="10"/>
        <v>1.4351099955706482E-3</v>
      </c>
    </row>
    <row r="142" spans="1:9" ht="15.75" customHeight="1">
      <c r="A142" s="13">
        <v>45768</v>
      </c>
      <c r="B142" s="12" t="s">
        <v>29</v>
      </c>
      <c r="C142" s="12">
        <v>1113</v>
      </c>
      <c r="D142" s="12">
        <v>224</v>
      </c>
      <c r="E142" s="12">
        <v>272989</v>
      </c>
      <c r="F142" s="12">
        <v>5.13</v>
      </c>
      <c r="G142" s="12">
        <v>24827</v>
      </c>
      <c r="H142" s="27">
        <f t="shared" si="9"/>
        <v>889</v>
      </c>
      <c r="I142" s="28">
        <f t="shared" si="10"/>
        <v>3.2565414723670183E-3</v>
      </c>
    </row>
    <row r="143" spans="1:9" ht="15.75" customHeight="1">
      <c r="A143" s="13">
        <v>45775</v>
      </c>
      <c r="B143" s="12" t="s">
        <v>14</v>
      </c>
      <c r="C143" s="12">
        <v>1100</v>
      </c>
      <c r="D143" s="12">
        <v>117</v>
      </c>
      <c r="E143" s="12">
        <v>260204</v>
      </c>
      <c r="F143" s="12">
        <v>4.4000000000000004</v>
      </c>
      <c r="G143" s="12">
        <v>11908</v>
      </c>
      <c r="H143" s="27">
        <f t="shared" si="9"/>
        <v>983</v>
      </c>
      <c r="I143" s="28">
        <f t="shared" si="10"/>
        <v>3.7778051067623862E-3</v>
      </c>
    </row>
    <row r="144" spans="1:9" ht="15.75" customHeight="1">
      <c r="A144" s="13">
        <v>45775</v>
      </c>
      <c r="B144" s="12" t="s">
        <v>23</v>
      </c>
      <c r="C144" s="12">
        <v>751</v>
      </c>
      <c r="D144" s="12">
        <v>170</v>
      </c>
      <c r="E144" s="12">
        <v>283278</v>
      </c>
      <c r="F144" s="12">
        <v>3.49</v>
      </c>
      <c r="G144" s="12">
        <v>11005</v>
      </c>
      <c r="H144" s="27">
        <f t="shared" si="9"/>
        <v>581</v>
      </c>
      <c r="I144" s="28">
        <f t="shared" si="10"/>
        <v>2.0509887813384732E-3</v>
      </c>
    </row>
    <row r="145" spans="1:9" ht="15.75" customHeight="1">
      <c r="A145" s="13">
        <v>45775</v>
      </c>
      <c r="B145" s="12" t="s">
        <v>29</v>
      </c>
      <c r="C145" s="12">
        <v>864</v>
      </c>
      <c r="D145" s="12">
        <v>50</v>
      </c>
      <c r="E145" s="12">
        <v>277445</v>
      </c>
      <c r="F145" s="12">
        <v>3.57</v>
      </c>
      <c r="G145" s="12">
        <v>26333</v>
      </c>
      <c r="H145" s="27">
        <f t="shared" si="9"/>
        <v>814</v>
      </c>
      <c r="I145" s="28">
        <f t="shared" si="10"/>
        <v>2.9339148299662998E-3</v>
      </c>
    </row>
    <row r="146" spans="1:9" ht="15.75" customHeight="1">
      <c r="A146" s="13">
        <v>45782</v>
      </c>
      <c r="B146" s="12" t="s">
        <v>14</v>
      </c>
      <c r="C146" s="12">
        <v>1146</v>
      </c>
      <c r="D146" s="12">
        <v>227</v>
      </c>
      <c r="E146" s="12">
        <v>353781</v>
      </c>
      <c r="F146" s="12">
        <v>6.41</v>
      </c>
      <c r="G146" s="12">
        <v>5495</v>
      </c>
      <c r="H146" s="27">
        <f t="shared" si="9"/>
        <v>919</v>
      </c>
      <c r="I146" s="28">
        <f t="shared" si="10"/>
        <v>2.5976522198761379E-3</v>
      </c>
    </row>
    <row r="147" spans="1:9" ht="15.75" customHeight="1">
      <c r="A147" s="13">
        <v>45782</v>
      </c>
      <c r="B147" s="12" t="s">
        <v>23</v>
      </c>
      <c r="C147" s="12">
        <v>883</v>
      </c>
      <c r="D147" s="12">
        <v>207</v>
      </c>
      <c r="E147" s="12">
        <v>265019</v>
      </c>
      <c r="F147" s="12">
        <v>6.04</v>
      </c>
      <c r="G147" s="12">
        <v>15655</v>
      </c>
      <c r="H147" s="27">
        <f t="shared" si="9"/>
        <v>676</v>
      </c>
      <c r="I147" s="28">
        <f t="shared" si="10"/>
        <v>2.5507605115104954E-3</v>
      </c>
    </row>
    <row r="148" spans="1:9" ht="15.75" customHeight="1">
      <c r="A148" s="13">
        <v>45782</v>
      </c>
      <c r="B148" s="12" t="s">
        <v>29</v>
      </c>
      <c r="C148" s="12">
        <v>622</v>
      </c>
      <c r="D148" s="12">
        <v>163</v>
      </c>
      <c r="E148" s="12">
        <v>231925</v>
      </c>
      <c r="F148" s="12">
        <v>9.18</v>
      </c>
      <c r="G148" s="12">
        <v>13763</v>
      </c>
      <c r="H148" s="27">
        <f t="shared" si="9"/>
        <v>459</v>
      </c>
      <c r="I148" s="28">
        <f t="shared" si="10"/>
        <v>1.9790880672631238E-3</v>
      </c>
    </row>
    <row r="149" spans="1:9" ht="15.75" customHeight="1">
      <c r="A149" s="13">
        <v>45789</v>
      </c>
      <c r="B149" s="12" t="s">
        <v>14</v>
      </c>
      <c r="C149" s="12">
        <v>837</v>
      </c>
      <c r="D149" s="12">
        <v>261</v>
      </c>
      <c r="E149" s="12">
        <v>366149</v>
      </c>
      <c r="F149" s="12">
        <v>6.54</v>
      </c>
      <c r="G149" s="12">
        <v>26073</v>
      </c>
      <c r="H149" s="27">
        <f t="shared" si="9"/>
        <v>576</v>
      </c>
      <c r="I149" s="28">
        <f t="shared" si="10"/>
        <v>1.5731300645365684E-3</v>
      </c>
    </row>
    <row r="150" spans="1:9" ht="15.75" customHeight="1">
      <c r="A150" s="13">
        <v>45789</v>
      </c>
      <c r="B150" s="12" t="s">
        <v>23</v>
      </c>
      <c r="C150" s="12">
        <v>544</v>
      </c>
      <c r="D150" s="12">
        <v>97</v>
      </c>
      <c r="E150" s="12">
        <v>168375</v>
      </c>
      <c r="F150" s="12">
        <v>8.66</v>
      </c>
      <c r="G150" s="12">
        <v>12774</v>
      </c>
      <c r="H150" s="27">
        <f t="shared" si="9"/>
        <v>447</v>
      </c>
      <c r="I150" s="28">
        <f t="shared" si="10"/>
        <v>2.6547884187082403E-3</v>
      </c>
    </row>
    <row r="151" spans="1:9" ht="15.75" customHeight="1">
      <c r="A151" s="13">
        <v>45789</v>
      </c>
      <c r="B151" s="12" t="s">
        <v>29</v>
      </c>
      <c r="C151" s="12">
        <v>624</v>
      </c>
      <c r="D151" s="12">
        <v>247</v>
      </c>
      <c r="E151" s="12">
        <v>252763</v>
      </c>
      <c r="F151" s="12">
        <v>3.89</v>
      </c>
      <c r="G151" s="12">
        <v>19000</v>
      </c>
      <c r="H151" s="27">
        <f t="shared" si="9"/>
        <v>377</v>
      </c>
      <c r="I151" s="28">
        <f t="shared" si="10"/>
        <v>1.4915157677349929E-3</v>
      </c>
    </row>
    <row r="152" spans="1:9" ht="15.75" customHeight="1">
      <c r="A152" s="13">
        <v>45796</v>
      </c>
      <c r="B152" s="12" t="s">
        <v>14</v>
      </c>
      <c r="C152" s="12">
        <v>1073</v>
      </c>
      <c r="D152" s="12">
        <v>141</v>
      </c>
      <c r="E152" s="12">
        <v>118393</v>
      </c>
      <c r="F152" s="12">
        <v>7.95</v>
      </c>
      <c r="G152" s="12">
        <v>14051</v>
      </c>
      <c r="H152" s="27">
        <f t="shared" si="9"/>
        <v>932</v>
      </c>
      <c r="I152" s="28">
        <f t="shared" si="10"/>
        <v>7.872087032172511E-3</v>
      </c>
    </row>
    <row r="153" spans="1:9" ht="15.75" customHeight="1">
      <c r="A153" s="13">
        <v>45796</v>
      </c>
      <c r="B153" s="12" t="s">
        <v>23</v>
      </c>
      <c r="C153" s="12">
        <v>1430</v>
      </c>
      <c r="D153" s="12">
        <v>74</v>
      </c>
      <c r="E153" s="12">
        <v>327012</v>
      </c>
      <c r="F153" s="12">
        <v>6.66</v>
      </c>
      <c r="G153" s="12">
        <v>27782</v>
      </c>
      <c r="H153" s="27">
        <f t="shared" si="9"/>
        <v>1356</v>
      </c>
      <c r="I153" s="28">
        <f t="shared" si="10"/>
        <v>4.1466368206671319E-3</v>
      </c>
    </row>
    <row r="154" spans="1:9" ht="15.75" customHeight="1">
      <c r="A154" s="13">
        <v>45796</v>
      </c>
      <c r="B154" s="12" t="s">
        <v>29</v>
      </c>
      <c r="C154" s="12">
        <v>1358</v>
      </c>
      <c r="D154" s="12">
        <v>77</v>
      </c>
      <c r="E154" s="12">
        <v>169688</v>
      </c>
      <c r="F154" s="12">
        <v>5.25</v>
      </c>
      <c r="G154" s="12">
        <v>7859</v>
      </c>
      <c r="H154" s="27">
        <f t="shared" si="9"/>
        <v>1281</v>
      </c>
      <c r="I154" s="28">
        <f t="shared" si="10"/>
        <v>7.5491490264485411E-3</v>
      </c>
    </row>
    <row r="155" spans="1:9" ht="15.75" customHeight="1">
      <c r="A155" s="13">
        <v>45803</v>
      </c>
      <c r="B155" s="12" t="s">
        <v>14</v>
      </c>
      <c r="C155" s="12">
        <v>1242</v>
      </c>
      <c r="D155" s="12">
        <v>201</v>
      </c>
      <c r="E155" s="12">
        <v>271935</v>
      </c>
      <c r="F155" s="12">
        <v>5.07</v>
      </c>
      <c r="G155" s="12">
        <v>15773</v>
      </c>
      <c r="H155" s="27">
        <f t="shared" si="9"/>
        <v>1041</v>
      </c>
      <c r="I155" s="28">
        <f t="shared" si="10"/>
        <v>3.8281206906062111E-3</v>
      </c>
    </row>
    <row r="156" spans="1:9" ht="15.75" customHeight="1">
      <c r="A156" s="13">
        <v>45803</v>
      </c>
      <c r="B156" s="12" t="s">
        <v>23</v>
      </c>
      <c r="C156" s="12">
        <v>1389</v>
      </c>
      <c r="D156" s="12">
        <v>205</v>
      </c>
      <c r="E156" s="12">
        <v>315981</v>
      </c>
      <c r="F156" s="12">
        <v>7.62</v>
      </c>
      <c r="G156" s="12">
        <v>20595</v>
      </c>
      <c r="H156" s="27">
        <f t="shared" si="9"/>
        <v>1184</v>
      </c>
      <c r="I156" s="28">
        <f t="shared" si="10"/>
        <v>3.7470607409939207E-3</v>
      </c>
    </row>
    <row r="157" spans="1:9" ht="15.75" customHeight="1">
      <c r="A157" s="13">
        <v>45803</v>
      </c>
      <c r="B157" s="12" t="s">
        <v>29</v>
      </c>
      <c r="C157" s="12">
        <v>826</v>
      </c>
      <c r="D157" s="12">
        <v>142</v>
      </c>
      <c r="E157" s="12">
        <v>341016</v>
      </c>
      <c r="F157" s="12">
        <v>7.44</v>
      </c>
      <c r="G157" s="12">
        <v>12031</v>
      </c>
      <c r="H157" s="27">
        <f t="shared" si="9"/>
        <v>684</v>
      </c>
      <c r="I157" s="28">
        <f t="shared" si="10"/>
        <v>2.005770990217468E-3</v>
      </c>
    </row>
    <row r="158" spans="1:9" ht="15.75" customHeight="1">
      <c r="A158" s="13">
        <v>45810</v>
      </c>
      <c r="B158" s="12" t="s">
        <v>14</v>
      </c>
      <c r="C158" s="12">
        <v>618</v>
      </c>
      <c r="D158" s="12">
        <v>264</v>
      </c>
      <c r="E158" s="12">
        <v>285164</v>
      </c>
      <c r="F158" s="12">
        <v>4.8600000000000003</v>
      </c>
      <c r="G158" s="12">
        <v>15128</v>
      </c>
      <c r="H158" s="27">
        <f t="shared" si="9"/>
        <v>354</v>
      </c>
      <c r="I158" s="28">
        <f t="shared" si="10"/>
        <v>1.2413909189098204E-3</v>
      </c>
    </row>
    <row r="159" spans="1:9" ht="15.75" customHeight="1">
      <c r="A159" s="13">
        <v>45810</v>
      </c>
      <c r="B159" s="12" t="s">
        <v>23</v>
      </c>
      <c r="C159" s="12">
        <v>1419</v>
      </c>
      <c r="D159" s="12">
        <v>293</v>
      </c>
      <c r="E159" s="12">
        <v>116632</v>
      </c>
      <c r="F159" s="12">
        <v>6.93</v>
      </c>
      <c r="G159" s="12">
        <v>11826</v>
      </c>
      <c r="H159" s="27">
        <f t="shared" si="9"/>
        <v>1126</v>
      </c>
      <c r="I159" s="28">
        <f t="shared" si="10"/>
        <v>9.6542972769051369E-3</v>
      </c>
    </row>
    <row r="160" spans="1:9" ht="15.75" customHeight="1">
      <c r="A160" s="13">
        <v>45810</v>
      </c>
      <c r="B160" s="12" t="s">
        <v>29</v>
      </c>
      <c r="C160" s="12">
        <v>637</v>
      </c>
      <c r="D160" s="12">
        <v>68</v>
      </c>
      <c r="E160" s="12">
        <v>115694</v>
      </c>
      <c r="F160" s="12">
        <v>9.99</v>
      </c>
      <c r="G160" s="12">
        <v>12562</v>
      </c>
      <c r="H160" s="27">
        <f t="shared" si="9"/>
        <v>569</v>
      </c>
      <c r="I160" s="28">
        <f t="shared" si="10"/>
        <v>4.9181461441388493E-3</v>
      </c>
    </row>
    <row r="161" spans="1:9" ht="15.75" customHeight="1">
      <c r="A161" s="13">
        <v>45817</v>
      </c>
      <c r="B161" s="12" t="s">
        <v>14</v>
      </c>
      <c r="C161" s="12">
        <v>917</v>
      </c>
      <c r="D161" s="12">
        <v>187</v>
      </c>
      <c r="E161" s="12">
        <v>64444</v>
      </c>
      <c r="F161" s="12">
        <v>5.22</v>
      </c>
      <c r="G161" s="12">
        <v>13013</v>
      </c>
      <c r="H161" s="27">
        <f t="shared" si="9"/>
        <v>730</v>
      </c>
      <c r="I161" s="28">
        <f t="shared" si="10"/>
        <v>1.1327664328719508E-2</v>
      </c>
    </row>
    <row r="162" spans="1:9" ht="15.75" customHeight="1">
      <c r="A162" s="13">
        <v>45817</v>
      </c>
      <c r="B162" s="12" t="s">
        <v>23</v>
      </c>
      <c r="C162" s="12">
        <v>810</v>
      </c>
      <c r="D162" s="12">
        <v>232</v>
      </c>
      <c r="E162" s="12">
        <v>362559</v>
      </c>
      <c r="F162" s="12">
        <v>5.17</v>
      </c>
      <c r="G162" s="12">
        <v>12937</v>
      </c>
      <c r="H162" s="27">
        <f t="shared" ref="H162:H193" si="11">C162-D162</f>
        <v>578</v>
      </c>
      <c r="I162" s="28">
        <f t="shared" ref="I162:I193" si="12">H162/E162</f>
        <v>1.5942232850377457E-3</v>
      </c>
    </row>
    <row r="163" spans="1:9" ht="15.75" customHeight="1">
      <c r="A163" s="13">
        <v>45817</v>
      </c>
      <c r="B163" s="12" t="s">
        <v>29</v>
      </c>
      <c r="C163" s="12">
        <v>1183</v>
      </c>
      <c r="D163" s="12">
        <v>248</v>
      </c>
      <c r="E163" s="12">
        <v>226881</v>
      </c>
      <c r="F163" s="12">
        <v>5.17</v>
      </c>
      <c r="G163" s="12">
        <v>14534</v>
      </c>
      <c r="H163" s="27">
        <f t="shared" si="11"/>
        <v>935</v>
      </c>
      <c r="I163" s="28">
        <f t="shared" si="12"/>
        <v>4.1211031333606603E-3</v>
      </c>
    </row>
    <row r="164" spans="1:9" ht="15.75" customHeight="1">
      <c r="A164" s="13">
        <v>45824</v>
      </c>
      <c r="B164" s="12" t="s">
        <v>14</v>
      </c>
      <c r="C164" s="12">
        <v>765</v>
      </c>
      <c r="D164" s="12">
        <v>67</v>
      </c>
      <c r="E164" s="12">
        <v>283537</v>
      </c>
      <c r="F164" s="12">
        <v>6.18</v>
      </c>
      <c r="G164" s="12">
        <v>8182</v>
      </c>
      <c r="H164" s="27">
        <f t="shared" si="11"/>
        <v>698</v>
      </c>
      <c r="I164" s="28">
        <f t="shared" si="12"/>
        <v>2.4617598408673293E-3</v>
      </c>
    </row>
    <row r="165" spans="1:9" ht="15.75" customHeight="1">
      <c r="A165" s="13">
        <v>45824</v>
      </c>
      <c r="B165" s="12" t="s">
        <v>23</v>
      </c>
      <c r="C165" s="12">
        <v>540</v>
      </c>
      <c r="D165" s="12">
        <v>215</v>
      </c>
      <c r="E165" s="12">
        <v>62837</v>
      </c>
      <c r="F165" s="12">
        <v>5.3</v>
      </c>
      <c r="G165" s="12">
        <v>10615</v>
      </c>
      <c r="H165" s="27">
        <f t="shared" si="11"/>
        <v>325</v>
      </c>
      <c r="I165" s="28">
        <f t="shared" si="12"/>
        <v>5.1721119722456512E-3</v>
      </c>
    </row>
    <row r="166" spans="1:9" ht="15.75" customHeight="1">
      <c r="A166" s="13">
        <v>45824</v>
      </c>
      <c r="B166" s="12" t="s">
        <v>29</v>
      </c>
      <c r="C166" s="12">
        <v>1145</v>
      </c>
      <c r="D166" s="12">
        <v>151</v>
      </c>
      <c r="E166" s="12">
        <v>182759</v>
      </c>
      <c r="F166" s="12">
        <v>5.99</v>
      </c>
      <c r="G166" s="12">
        <v>20109</v>
      </c>
      <c r="H166" s="27">
        <f t="shared" si="11"/>
        <v>994</v>
      </c>
      <c r="I166" s="28">
        <f t="shared" si="12"/>
        <v>5.4388566363352828E-3</v>
      </c>
    </row>
    <row r="167" spans="1:9" ht="15.75" customHeight="1">
      <c r="A167" s="13">
        <v>45831</v>
      </c>
      <c r="B167" s="12" t="s">
        <v>14</v>
      </c>
      <c r="C167" s="12">
        <v>564</v>
      </c>
      <c r="D167" s="12">
        <v>244</v>
      </c>
      <c r="E167" s="12">
        <v>279405</v>
      </c>
      <c r="F167" s="12">
        <v>8.43</v>
      </c>
      <c r="G167" s="12">
        <v>26024</v>
      </c>
      <c r="H167" s="27">
        <f t="shared" si="11"/>
        <v>320</v>
      </c>
      <c r="I167" s="28">
        <f t="shared" si="12"/>
        <v>1.1452908859898713E-3</v>
      </c>
    </row>
    <row r="168" spans="1:9" ht="15.75" customHeight="1">
      <c r="A168" s="13">
        <v>45831</v>
      </c>
      <c r="B168" s="12" t="s">
        <v>23</v>
      </c>
      <c r="C168" s="12">
        <v>668</v>
      </c>
      <c r="D168" s="12">
        <v>124</v>
      </c>
      <c r="E168" s="12">
        <v>257485</v>
      </c>
      <c r="F168" s="12">
        <v>7.55</v>
      </c>
      <c r="G168" s="12">
        <v>26730</v>
      </c>
      <c r="H168" s="27">
        <f t="shared" si="11"/>
        <v>544</v>
      </c>
      <c r="I168" s="28">
        <f t="shared" si="12"/>
        <v>2.1127444317144686E-3</v>
      </c>
    </row>
    <row r="169" spans="1:9" ht="15.75" customHeight="1">
      <c r="A169" s="13">
        <v>45831</v>
      </c>
      <c r="B169" s="12" t="s">
        <v>29</v>
      </c>
      <c r="C169" s="12">
        <v>761</v>
      </c>
      <c r="D169" s="12">
        <v>241</v>
      </c>
      <c r="E169" s="12">
        <v>154977</v>
      </c>
      <c r="F169" s="12">
        <v>5.63</v>
      </c>
      <c r="G169" s="12">
        <v>10563</v>
      </c>
      <c r="H169" s="27">
        <f t="shared" si="11"/>
        <v>520</v>
      </c>
      <c r="I169" s="28">
        <f t="shared" si="12"/>
        <v>3.3553365983339462E-3</v>
      </c>
    </row>
    <row r="170" spans="1:9" ht="15.75" customHeight="1">
      <c r="A170" s="13">
        <v>45838</v>
      </c>
      <c r="B170" s="12" t="s">
        <v>14</v>
      </c>
      <c r="C170" s="12">
        <v>593</v>
      </c>
      <c r="D170" s="12">
        <v>108</v>
      </c>
      <c r="E170" s="12">
        <v>216500</v>
      </c>
      <c r="F170" s="12">
        <v>4.71</v>
      </c>
      <c r="G170" s="12">
        <v>27575</v>
      </c>
      <c r="H170" s="27">
        <f t="shared" si="11"/>
        <v>485</v>
      </c>
      <c r="I170" s="28">
        <f t="shared" si="12"/>
        <v>2.2401847575057735E-3</v>
      </c>
    </row>
    <row r="171" spans="1:9" ht="15.75" customHeight="1">
      <c r="A171" s="13">
        <v>45838</v>
      </c>
      <c r="B171" s="12" t="s">
        <v>23</v>
      </c>
      <c r="C171" s="12">
        <v>1349</v>
      </c>
      <c r="D171" s="12">
        <v>115</v>
      </c>
      <c r="E171" s="12">
        <v>102102</v>
      </c>
      <c r="F171" s="12">
        <v>5.28</v>
      </c>
      <c r="G171" s="12">
        <v>14479</v>
      </c>
      <c r="H171" s="27">
        <f t="shared" si="11"/>
        <v>1234</v>
      </c>
      <c r="I171" s="28">
        <f t="shared" si="12"/>
        <v>1.208595326242385E-2</v>
      </c>
    </row>
    <row r="172" spans="1:9" ht="15.75" customHeight="1">
      <c r="A172" s="13">
        <v>45838</v>
      </c>
      <c r="B172" s="12" t="s">
        <v>29</v>
      </c>
      <c r="C172" s="12">
        <v>693</v>
      </c>
      <c r="D172" s="12">
        <v>97</v>
      </c>
      <c r="E172" s="12">
        <v>92025</v>
      </c>
      <c r="F172" s="12">
        <v>5.95</v>
      </c>
      <c r="G172" s="12">
        <v>15915</v>
      </c>
      <c r="H172" s="27">
        <f t="shared" si="11"/>
        <v>596</v>
      </c>
      <c r="I172" s="28">
        <f t="shared" si="12"/>
        <v>6.4765009508285796E-3</v>
      </c>
    </row>
    <row r="173" spans="1:9" ht="15.75" customHeight="1">
      <c r="A173" s="13">
        <v>45845</v>
      </c>
      <c r="B173" s="12" t="s">
        <v>14</v>
      </c>
      <c r="C173" s="12">
        <v>974</v>
      </c>
      <c r="D173" s="12">
        <v>143</v>
      </c>
      <c r="E173" s="12">
        <v>247965</v>
      </c>
      <c r="F173" s="12">
        <v>9.98</v>
      </c>
      <c r="G173" s="12">
        <v>12767</v>
      </c>
      <c r="H173" s="27">
        <f t="shared" si="11"/>
        <v>831</v>
      </c>
      <c r="I173" s="28">
        <f t="shared" si="12"/>
        <v>3.3512794144334888E-3</v>
      </c>
    </row>
    <row r="174" spans="1:9" ht="15.75" customHeight="1">
      <c r="A174" s="13">
        <v>45845</v>
      </c>
      <c r="B174" s="12" t="s">
        <v>23</v>
      </c>
      <c r="C174" s="12">
        <v>1155</v>
      </c>
      <c r="D174" s="12">
        <v>122</v>
      </c>
      <c r="E174" s="12">
        <v>387352</v>
      </c>
      <c r="F174" s="12">
        <v>9.93</v>
      </c>
      <c r="G174" s="12">
        <v>12170</v>
      </c>
      <c r="H174" s="27">
        <f t="shared" si="11"/>
        <v>1033</v>
      </c>
      <c r="I174" s="28">
        <f t="shared" si="12"/>
        <v>2.6668250067122413E-3</v>
      </c>
    </row>
    <row r="175" spans="1:9" ht="15.75" customHeight="1">
      <c r="A175" s="13">
        <v>45845</v>
      </c>
      <c r="B175" s="12" t="s">
        <v>29</v>
      </c>
      <c r="C175" s="12">
        <v>1051</v>
      </c>
      <c r="D175" s="12">
        <v>246</v>
      </c>
      <c r="E175" s="12">
        <v>253985</v>
      </c>
      <c r="F175" s="12">
        <v>9.08</v>
      </c>
      <c r="G175" s="12">
        <v>7245</v>
      </c>
      <c r="H175" s="27">
        <f t="shared" si="11"/>
        <v>805</v>
      </c>
      <c r="I175" s="28">
        <f t="shared" si="12"/>
        <v>3.1694785125105812E-3</v>
      </c>
    </row>
    <row r="176" spans="1:9" ht="15.75" customHeight="1">
      <c r="A176" s="13">
        <v>45852</v>
      </c>
      <c r="B176" s="12" t="s">
        <v>14</v>
      </c>
      <c r="C176" s="12">
        <v>1457</v>
      </c>
      <c r="D176" s="12">
        <v>183</v>
      </c>
      <c r="E176" s="12">
        <v>129640</v>
      </c>
      <c r="F176" s="12">
        <v>7.98</v>
      </c>
      <c r="G176" s="12">
        <v>12985</v>
      </c>
      <c r="H176" s="27">
        <f t="shared" si="11"/>
        <v>1274</v>
      </c>
      <c r="I176" s="28">
        <f t="shared" si="12"/>
        <v>9.827213822894169E-3</v>
      </c>
    </row>
    <row r="177" spans="1:9" ht="15.75" customHeight="1">
      <c r="A177" s="13">
        <v>45852</v>
      </c>
      <c r="B177" s="12" t="s">
        <v>23</v>
      </c>
      <c r="C177" s="12">
        <v>670</v>
      </c>
      <c r="D177" s="12">
        <v>242</v>
      </c>
      <c r="E177" s="12">
        <v>281913</v>
      </c>
      <c r="F177" s="12">
        <v>9.6199999999999992</v>
      </c>
      <c r="G177" s="12">
        <v>16377</v>
      </c>
      <c r="H177" s="27">
        <f t="shared" si="11"/>
        <v>428</v>
      </c>
      <c r="I177" s="28">
        <f t="shared" si="12"/>
        <v>1.5181988769584942E-3</v>
      </c>
    </row>
    <row r="178" spans="1:9" ht="15.75" customHeight="1">
      <c r="A178" s="13">
        <v>45852</v>
      </c>
      <c r="B178" s="12" t="s">
        <v>29</v>
      </c>
      <c r="C178" s="12">
        <v>1111</v>
      </c>
      <c r="D178" s="12">
        <v>159</v>
      </c>
      <c r="E178" s="12">
        <v>360770</v>
      </c>
      <c r="F178" s="12">
        <v>8.7100000000000009</v>
      </c>
      <c r="G178" s="12">
        <v>11453</v>
      </c>
      <c r="H178" s="27">
        <f t="shared" si="11"/>
        <v>952</v>
      </c>
      <c r="I178" s="28">
        <f t="shared" si="12"/>
        <v>2.6388003437092886E-3</v>
      </c>
    </row>
    <row r="179" spans="1:9" ht="15.75" customHeight="1">
      <c r="A179" s="13">
        <v>45859</v>
      </c>
      <c r="B179" s="12" t="s">
        <v>14</v>
      </c>
      <c r="C179" s="12">
        <v>1197</v>
      </c>
      <c r="D179" s="12">
        <v>246</v>
      </c>
      <c r="E179" s="12">
        <v>127273</v>
      </c>
      <c r="F179" s="12">
        <v>6.69</v>
      </c>
      <c r="G179" s="12">
        <v>12323</v>
      </c>
      <c r="H179" s="27">
        <f t="shared" si="11"/>
        <v>951</v>
      </c>
      <c r="I179" s="28">
        <f t="shared" si="12"/>
        <v>7.4721268454424738E-3</v>
      </c>
    </row>
    <row r="180" spans="1:9" ht="15.75" customHeight="1">
      <c r="A180" s="13">
        <v>45859</v>
      </c>
      <c r="B180" s="12" t="s">
        <v>23</v>
      </c>
      <c r="C180" s="12">
        <v>754</v>
      </c>
      <c r="D180" s="12">
        <v>150</v>
      </c>
      <c r="E180" s="12">
        <v>189622</v>
      </c>
      <c r="F180" s="12">
        <v>4.25</v>
      </c>
      <c r="G180" s="12">
        <v>11911</v>
      </c>
      <c r="H180" s="27">
        <f t="shared" si="11"/>
        <v>604</v>
      </c>
      <c r="I180" s="28">
        <f t="shared" si="12"/>
        <v>3.1852844079273504E-3</v>
      </c>
    </row>
    <row r="181" spans="1:9" ht="15.75" customHeight="1">
      <c r="A181" s="13">
        <v>45859</v>
      </c>
      <c r="B181" s="12" t="s">
        <v>29</v>
      </c>
      <c r="C181" s="12">
        <v>1246</v>
      </c>
      <c r="D181" s="12">
        <v>107</v>
      </c>
      <c r="E181" s="12">
        <v>350949</v>
      </c>
      <c r="F181" s="12">
        <v>4.9800000000000004</v>
      </c>
      <c r="G181" s="12">
        <v>27809</v>
      </c>
      <c r="H181" s="27">
        <f t="shared" si="11"/>
        <v>1139</v>
      </c>
      <c r="I181" s="28">
        <f t="shared" si="12"/>
        <v>3.2454858113287115E-3</v>
      </c>
    </row>
    <row r="182" spans="1:9" ht="15.75" customHeight="1">
      <c r="A182" s="13">
        <v>45866</v>
      </c>
      <c r="B182" s="12" t="s">
        <v>14</v>
      </c>
      <c r="C182" s="12">
        <v>780</v>
      </c>
      <c r="D182" s="12">
        <v>213</v>
      </c>
      <c r="E182" s="12">
        <v>121431</v>
      </c>
      <c r="F182" s="12">
        <v>4.97</v>
      </c>
      <c r="G182" s="12">
        <v>21464</v>
      </c>
      <c r="H182" s="27">
        <f t="shared" si="11"/>
        <v>567</v>
      </c>
      <c r="I182" s="28">
        <f t="shared" si="12"/>
        <v>4.669318378338316E-3</v>
      </c>
    </row>
    <row r="183" spans="1:9" ht="15.75" customHeight="1">
      <c r="A183" s="13">
        <v>45866</v>
      </c>
      <c r="B183" s="12" t="s">
        <v>23</v>
      </c>
      <c r="C183" s="12">
        <v>1425</v>
      </c>
      <c r="D183" s="12">
        <v>143</v>
      </c>
      <c r="E183" s="12">
        <v>116742</v>
      </c>
      <c r="F183" s="12">
        <v>3.71</v>
      </c>
      <c r="G183" s="12">
        <v>27126</v>
      </c>
      <c r="H183" s="27">
        <f t="shared" si="11"/>
        <v>1282</v>
      </c>
      <c r="I183" s="28">
        <f t="shared" si="12"/>
        <v>1.0981480529715098E-2</v>
      </c>
    </row>
    <row r="184" spans="1:9" ht="15.75" customHeight="1">
      <c r="A184" s="13">
        <v>45866</v>
      </c>
      <c r="B184" s="12" t="s">
        <v>29</v>
      </c>
      <c r="C184" s="12">
        <v>1490</v>
      </c>
      <c r="D184" s="12">
        <v>103</v>
      </c>
      <c r="E184" s="12">
        <v>81184</v>
      </c>
      <c r="F184" s="12">
        <v>7.79</v>
      </c>
      <c r="G184" s="12">
        <v>10681</v>
      </c>
      <c r="H184" s="27">
        <f t="shared" si="11"/>
        <v>1387</v>
      </c>
      <c r="I184" s="28">
        <f t="shared" si="12"/>
        <v>1.7084647221127316E-2</v>
      </c>
    </row>
    <row r="185" spans="1:9" ht="15.75" customHeight="1">
      <c r="A185" s="13">
        <v>45873</v>
      </c>
      <c r="B185" s="12" t="s">
        <v>14</v>
      </c>
      <c r="C185" s="12">
        <v>949</v>
      </c>
      <c r="D185" s="12">
        <v>282</v>
      </c>
      <c r="E185" s="12">
        <v>87126</v>
      </c>
      <c r="F185" s="12">
        <v>4.96</v>
      </c>
      <c r="G185" s="12">
        <v>5413</v>
      </c>
      <c r="H185" s="27">
        <f t="shared" si="11"/>
        <v>667</v>
      </c>
      <c r="I185" s="28">
        <f t="shared" si="12"/>
        <v>7.6555792759910937E-3</v>
      </c>
    </row>
    <row r="186" spans="1:9" ht="15.75" customHeight="1">
      <c r="A186" s="13">
        <v>45873</v>
      </c>
      <c r="B186" s="12" t="s">
        <v>23</v>
      </c>
      <c r="C186" s="12">
        <v>640</v>
      </c>
      <c r="D186" s="12">
        <v>141</v>
      </c>
      <c r="E186" s="12">
        <v>267546</v>
      </c>
      <c r="F186" s="12">
        <v>8.58</v>
      </c>
      <c r="G186" s="12">
        <v>25058</v>
      </c>
      <c r="H186" s="27">
        <f t="shared" si="11"/>
        <v>499</v>
      </c>
      <c r="I186" s="28">
        <f t="shared" si="12"/>
        <v>1.8650998332996943E-3</v>
      </c>
    </row>
    <row r="187" spans="1:9" ht="15.75" customHeight="1">
      <c r="A187" s="13">
        <v>45873</v>
      </c>
      <c r="B187" s="12" t="s">
        <v>29</v>
      </c>
      <c r="C187" s="12">
        <v>616</v>
      </c>
      <c r="D187" s="12">
        <v>93</v>
      </c>
      <c r="E187" s="12">
        <v>133082</v>
      </c>
      <c r="F187" s="12">
        <v>8.51</v>
      </c>
      <c r="G187" s="12">
        <v>18303</v>
      </c>
      <c r="H187" s="27">
        <f t="shared" si="11"/>
        <v>523</v>
      </c>
      <c r="I187" s="28">
        <f t="shared" si="12"/>
        <v>3.9299078763469142E-3</v>
      </c>
    </row>
    <row r="188" spans="1:9" ht="15.75" customHeight="1">
      <c r="A188" s="13">
        <v>45880</v>
      </c>
      <c r="B188" s="12" t="s">
        <v>14</v>
      </c>
      <c r="C188" s="12">
        <v>1080</v>
      </c>
      <c r="D188" s="12">
        <v>184</v>
      </c>
      <c r="E188" s="12">
        <v>340557</v>
      </c>
      <c r="F188" s="12">
        <v>5.41</v>
      </c>
      <c r="G188" s="12">
        <v>5526</v>
      </c>
      <c r="H188" s="27">
        <f t="shared" si="11"/>
        <v>896</v>
      </c>
      <c r="I188" s="28">
        <f t="shared" si="12"/>
        <v>2.6309839468870114E-3</v>
      </c>
    </row>
    <row r="189" spans="1:9" ht="15.75" customHeight="1">
      <c r="A189" s="13">
        <v>45880</v>
      </c>
      <c r="B189" s="12" t="s">
        <v>23</v>
      </c>
      <c r="C189" s="12">
        <v>938</v>
      </c>
      <c r="D189" s="12">
        <v>236</v>
      </c>
      <c r="E189" s="12">
        <v>116472</v>
      </c>
      <c r="F189" s="12">
        <v>8.7200000000000006</v>
      </c>
      <c r="G189" s="12">
        <v>17460</v>
      </c>
      <c r="H189" s="27">
        <f t="shared" si="11"/>
        <v>702</v>
      </c>
      <c r="I189" s="28">
        <f t="shared" si="12"/>
        <v>6.0271996703070265E-3</v>
      </c>
    </row>
    <row r="190" spans="1:9" ht="15.75" customHeight="1">
      <c r="A190" s="13">
        <v>45880</v>
      </c>
      <c r="B190" s="12" t="s">
        <v>29</v>
      </c>
      <c r="C190" s="12">
        <v>1007</v>
      </c>
      <c r="D190" s="12">
        <v>258</v>
      </c>
      <c r="E190" s="12">
        <v>113412</v>
      </c>
      <c r="F190" s="12">
        <v>7.71</v>
      </c>
      <c r="G190" s="12">
        <v>14475</v>
      </c>
      <c r="H190" s="27">
        <f t="shared" si="11"/>
        <v>749</v>
      </c>
      <c r="I190" s="28">
        <f t="shared" si="12"/>
        <v>6.6042394102916796E-3</v>
      </c>
    </row>
    <row r="191" spans="1:9" ht="15.75" customHeight="1">
      <c r="A191" s="13">
        <v>45887</v>
      </c>
      <c r="B191" s="12" t="s">
        <v>14</v>
      </c>
      <c r="C191" s="12">
        <v>541</v>
      </c>
      <c r="D191" s="12">
        <v>208</v>
      </c>
      <c r="E191" s="12">
        <v>157547</v>
      </c>
      <c r="F191" s="12">
        <v>8.35</v>
      </c>
      <c r="G191" s="12">
        <v>20162</v>
      </c>
      <c r="H191" s="27">
        <f t="shared" si="11"/>
        <v>333</v>
      </c>
      <c r="I191" s="28">
        <f t="shared" si="12"/>
        <v>2.1136549728017671E-3</v>
      </c>
    </row>
    <row r="192" spans="1:9" ht="15.75" customHeight="1">
      <c r="A192" s="13">
        <v>45887</v>
      </c>
      <c r="B192" s="12" t="s">
        <v>23</v>
      </c>
      <c r="C192" s="12">
        <v>745</v>
      </c>
      <c r="D192" s="12">
        <v>98</v>
      </c>
      <c r="E192" s="12">
        <v>354816</v>
      </c>
      <c r="F192" s="12">
        <v>4.03</v>
      </c>
      <c r="G192" s="12">
        <v>17103</v>
      </c>
      <c r="H192" s="27">
        <f t="shared" si="11"/>
        <v>647</v>
      </c>
      <c r="I192" s="28">
        <f t="shared" si="12"/>
        <v>1.823480339105339E-3</v>
      </c>
    </row>
    <row r="193" spans="1:9" ht="15.75" customHeight="1">
      <c r="A193" s="13">
        <v>45887</v>
      </c>
      <c r="B193" s="12" t="s">
        <v>29</v>
      </c>
      <c r="C193" s="12">
        <v>936</v>
      </c>
      <c r="D193" s="12">
        <v>97</v>
      </c>
      <c r="E193" s="12">
        <v>151799</v>
      </c>
      <c r="F193" s="12">
        <v>9.3699999999999992</v>
      </c>
      <c r="G193" s="12">
        <v>15461</v>
      </c>
      <c r="H193" s="27">
        <f t="shared" si="11"/>
        <v>839</v>
      </c>
      <c r="I193" s="28">
        <f t="shared" si="12"/>
        <v>5.5270456327116777E-3</v>
      </c>
    </row>
    <row r="194" spans="1:9" ht="15.75" customHeight="1">
      <c r="A194" s="13">
        <v>45894</v>
      </c>
      <c r="B194" s="12" t="s">
        <v>14</v>
      </c>
      <c r="C194" s="12">
        <v>1183</v>
      </c>
      <c r="D194" s="12">
        <v>223</v>
      </c>
      <c r="E194" s="12">
        <v>143811</v>
      </c>
      <c r="F194" s="12">
        <v>6.07</v>
      </c>
      <c r="G194" s="12">
        <v>22103</v>
      </c>
      <c r="H194" s="27">
        <f t="shared" ref="H194:H201" si="13">C194-D194</f>
        <v>960</v>
      </c>
      <c r="I194" s="28">
        <f t="shared" ref="I194:I201" si="14">H194/E194</f>
        <v>6.6754281661347186E-3</v>
      </c>
    </row>
    <row r="195" spans="1:9" ht="15.75" customHeight="1">
      <c r="A195" s="13">
        <v>45894</v>
      </c>
      <c r="B195" s="12" t="s">
        <v>23</v>
      </c>
      <c r="C195" s="12">
        <v>1413</v>
      </c>
      <c r="D195" s="12">
        <v>245</v>
      </c>
      <c r="E195" s="12">
        <v>296450</v>
      </c>
      <c r="F195" s="12">
        <v>6.52</v>
      </c>
      <c r="G195" s="12">
        <v>11625</v>
      </c>
      <c r="H195" s="27">
        <f t="shared" si="13"/>
        <v>1168</v>
      </c>
      <c r="I195" s="28">
        <f t="shared" si="14"/>
        <v>3.9399561477483558E-3</v>
      </c>
    </row>
    <row r="196" spans="1:9" ht="15.75" customHeight="1">
      <c r="A196" s="13">
        <v>45894</v>
      </c>
      <c r="B196" s="12" t="s">
        <v>29</v>
      </c>
      <c r="C196" s="12">
        <v>791</v>
      </c>
      <c r="D196" s="12">
        <v>273</v>
      </c>
      <c r="E196" s="12">
        <v>144049</v>
      </c>
      <c r="F196" s="12">
        <v>3.08</v>
      </c>
      <c r="G196" s="12">
        <v>5281</v>
      </c>
      <c r="H196" s="27">
        <f t="shared" si="13"/>
        <v>518</v>
      </c>
      <c r="I196" s="28">
        <f t="shared" si="14"/>
        <v>3.5959985838152297E-3</v>
      </c>
    </row>
    <row r="197" spans="1:9" ht="15.75" customHeight="1">
      <c r="A197" s="13">
        <v>45901</v>
      </c>
      <c r="B197" s="12" t="s">
        <v>14</v>
      </c>
      <c r="C197" s="12">
        <v>1052</v>
      </c>
      <c r="D197" s="12">
        <v>180</v>
      </c>
      <c r="E197" s="12">
        <v>272534</v>
      </c>
      <c r="F197" s="12">
        <v>5.34</v>
      </c>
      <c r="G197" s="12">
        <v>13424</v>
      </c>
      <c r="H197" s="27">
        <f t="shared" si="13"/>
        <v>872</v>
      </c>
      <c r="I197" s="28">
        <f t="shared" si="14"/>
        <v>3.1996007837554212E-3</v>
      </c>
    </row>
    <row r="198" spans="1:9" ht="15.75" customHeight="1">
      <c r="A198" s="13">
        <v>45901</v>
      </c>
      <c r="B198" s="12" t="s">
        <v>23</v>
      </c>
      <c r="C198" s="12">
        <v>572</v>
      </c>
      <c r="D198" s="12">
        <v>270</v>
      </c>
      <c r="E198" s="12">
        <v>82265</v>
      </c>
      <c r="F198" s="12">
        <v>3.65</v>
      </c>
      <c r="G198" s="12">
        <v>13140</v>
      </c>
      <c r="H198" s="27">
        <f t="shared" si="13"/>
        <v>302</v>
      </c>
      <c r="I198" s="28">
        <f t="shared" si="14"/>
        <v>3.6710630280192063E-3</v>
      </c>
    </row>
    <row r="199" spans="1:9" ht="15.75" customHeight="1">
      <c r="A199" s="13">
        <v>45901</v>
      </c>
      <c r="B199" s="12" t="s">
        <v>29</v>
      </c>
      <c r="C199" s="12">
        <v>503</v>
      </c>
      <c r="D199" s="12">
        <v>253</v>
      </c>
      <c r="E199" s="12">
        <v>313562</v>
      </c>
      <c r="F199" s="12">
        <v>4.18</v>
      </c>
      <c r="G199" s="12">
        <v>19538</v>
      </c>
      <c r="H199" s="27">
        <f t="shared" si="13"/>
        <v>250</v>
      </c>
      <c r="I199" s="28">
        <f t="shared" si="14"/>
        <v>7.9729048800556194E-4</v>
      </c>
    </row>
    <row r="200" spans="1:9" ht="15.75" customHeight="1">
      <c r="A200" s="13">
        <v>45908</v>
      </c>
      <c r="B200" s="12" t="s">
        <v>14</v>
      </c>
      <c r="C200" s="12">
        <v>1017</v>
      </c>
      <c r="D200" s="12">
        <v>197</v>
      </c>
      <c r="E200" s="12">
        <v>89918</v>
      </c>
      <c r="F200" s="12">
        <v>3.91</v>
      </c>
      <c r="G200" s="12">
        <v>7881</v>
      </c>
      <c r="H200" s="27">
        <f t="shared" si="13"/>
        <v>820</v>
      </c>
      <c r="I200" s="28">
        <f t="shared" si="14"/>
        <v>9.1194199159233963E-3</v>
      </c>
    </row>
    <row r="201" spans="1:9" ht="15.75" customHeight="1">
      <c r="A201" s="13">
        <v>45908</v>
      </c>
      <c r="B201" s="12" t="s">
        <v>23</v>
      </c>
      <c r="C201" s="12">
        <v>860</v>
      </c>
      <c r="D201" s="12">
        <v>244</v>
      </c>
      <c r="E201" s="12">
        <v>348686</v>
      </c>
      <c r="F201" s="12">
        <v>5.12</v>
      </c>
      <c r="G201" s="12">
        <v>11418</v>
      </c>
      <c r="H201" s="27">
        <f t="shared" si="13"/>
        <v>616</v>
      </c>
      <c r="I201" s="28">
        <f t="shared" si="14"/>
        <v>1.7666324429429343E-3</v>
      </c>
    </row>
    <row r="202" spans="1:9" ht="15.75" customHeight="1"/>
    <row r="203" spans="1:9" ht="15.75" customHeight="1"/>
    <row r="204" spans="1:9" ht="15.75" customHeight="1"/>
    <row r="205" spans="1:9" ht="15.75" customHeight="1"/>
    <row r="206" spans="1:9" ht="15.75" customHeight="1"/>
    <row r="207" spans="1:9" ht="15.75" customHeight="1"/>
    <row r="208" spans="1:9"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201" xr:uid="{00000000-0001-0000-0100-000000000000}"/>
  <conditionalFormatting pivot="1" sqref="U11:U13">
    <cfRule type="iconSet" priority="2">
      <iconSet iconSet="3Arrows">
        <cfvo type="percent" val="0"/>
        <cfvo type="percent" val="33"/>
        <cfvo type="percent" val="67"/>
      </iconSet>
    </cfRule>
  </conditionalFormatting>
  <conditionalFormatting pivot="1" sqref="Q11:U11">
    <cfRule type="colorScale" priority="1">
      <colorScale>
        <cfvo type="min"/>
        <cfvo type="percentile" val="50"/>
        <cfvo type="max"/>
        <color rgb="FF63BE7B"/>
        <color rgb="FFFFEB84"/>
        <color rgb="FFF8696B"/>
      </colorScale>
    </cfRule>
  </conditionalFormatting>
  <pageMargins left="0.7" right="0.7" top="0.75" bottom="0.75" header="0" footer="0"/>
  <pageSetup orientation="landscape"/>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B03A7-2652-434F-956F-7C93322BC112}">
  <dimension ref="A6:R42"/>
  <sheetViews>
    <sheetView topLeftCell="E1" zoomScale="55" zoomScaleNormal="70" workbookViewId="0">
      <selection activeCell="P23" sqref="P23"/>
    </sheetView>
  </sheetViews>
  <sheetFormatPr defaultRowHeight="14.5"/>
  <cols>
    <col min="1" max="1" width="12.6328125" bestFit="1" customWidth="1"/>
    <col min="2" max="2" width="25.6328125" bestFit="1" customWidth="1"/>
    <col min="3" max="3" width="21.08984375" bestFit="1" customWidth="1"/>
    <col min="4" max="4" width="33.1796875" bestFit="1" customWidth="1"/>
    <col min="6" max="6" width="13.90625" bestFit="1" customWidth="1"/>
    <col min="7" max="7" width="16.7265625" bestFit="1" customWidth="1"/>
    <col min="8" max="8" width="16.26953125" bestFit="1" customWidth="1"/>
    <col min="9" max="9" width="13" bestFit="1" customWidth="1"/>
    <col min="10" max="10" width="11.26953125" bestFit="1" customWidth="1"/>
    <col min="11" max="11" width="16.26953125" bestFit="1" customWidth="1"/>
    <col min="12" max="12" width="13" bestFit="1" customWidth="1"/>
    <col min="13" max="13" width="11.26953125" bestFit="1" customWidth="1"/>
    <col min="14" max="14" width="16.26953125" bestFit="1" customWidth="1"/>
    <col min="15" max="15" width="13" bestFit="1" customWidth="1"/>
    <col min="16" max="16" width="16.1796875" bestFit="1" customWidth="1"/>
    <col min="17" max="17" width="21.26953125" bestFit="1" customWidth="1"/>
    <col min="18" max="18" width="17.81640625" bestFit="1" customWidth="1"/>
  </cols>
  <sheetData>
    <row r="6" spans="1:9">
      <c r="A6" s="40" t="s">
        <v>370</v>
      </c>
      <c r="B6" s="30" t="s">
        <v>392</v>
      </c>
      <c r="C6" s="30" t="s">
        <v>394</v>
      </c>
      <c r="D6" s="30" t="s">
        <v>393</v>
      </c>
      <c r="F6" s="40" t="s">
        <v>370</v>
      </c>
      <c r="G6" s="30" t="s">
        <v>373</v>
      </c>
      <c r="H6" s="30" t="s">
        <v>375</v>
      </c>
      <c r="I6" s="30" t="s">
        <v>374</v>
      </c>
    </row>
    <row r="7" spans="1:9">
      <c r="A7" s="41" t="s">
        <v>14</v>
      </c>
      <c r="B7" s="30">
        <v>301576</v>
      </c>
      <c r="C7" s="30">
        <v>89</v>
      </c>
      <c r="D7" s="43">
        <v>8.4867576626802554E-2</v>
      </c>
      <c r="F7" s="41" t="s">
        <v>53</v>
      </c>
      <c r="G7" s="30">
        <v>89871</v>
      </c>
      <c r="H7" s="30">
        <v>6826</v>
      </c>
      <c r="I7" s="30">
        <v>9086</v>
      </c>
    </row>
    <row r="8" spans="1:9">
      <c r="A8" s="42" t="s">
        <v>24</v>
      </c>
      <c r="B8" s="30">
        <v>75464</v>
      </c>
      <c r="C8" s="30">
        <v>23</v>
      </c>
      <c r="D8" s="43">
        <v>8.7200689618514321E-2</v>
      </c>
      <c r="F8" s="41" t="s">
        <v>24</v>
      </c>
      <c r="G8" s="30">
        <v>333918</v>
      </c>
      <c r="H8" s="30">
        <v>24098</v>
      </c>
      <c r="I8" s="30">
        <v>34487</v>
      </c>
    </row>
    <row r="9" spans="1:9">
      <c r="A9" s="42" t="s">
        <v>15</v>
      </c>
      <c r="B9" s="30">
        <v>226112</v>
      </c>
      <c r="C9" s="30">
        <v>66</v>
      </c>
      <c r="D9" s="43">
        <v>8.4116450273298851E-2</v>
      </c>
      <c r="F9" s="41" t="s">
        <v>15</v>
      </c>
      <c r="G9" s="30">
        <v>473386</v>
      </c>
      <c r="H9" s="30">
        <v>36142</v>
      </c>
      <c r="I9" s="30">
        <v>49828</v>
      </c>
    </row>
    <row r="10" spans="1:9">
      <c r="A10" s="41" t="s">
        <v>23</v>
      </c>
      <c r="B10" s="30">
        <v>527370</v>
      </c>
      <c r="C10" s="30">
        <v>148</v>
      </c>
      <c r="D10" s="43">
        <v>8.5905584164325199E-2</v>
      </c>
      <c r="F10" s="41" t="s">
        <v>371</v>
      </c>
      <c r="G10" s="30">
        <v>897175</v>
      </c>
      <c r="H10" s="30">
        <v>67066</v>
      </c>
      <c r="I10" s="30">
        <v>93401</v>
      </c>
    </row>
    <row r="11" spans="1:9">
      <c r="A11" s="42" t="s">
        <v>24</v>
      </c>
      <c r="B11" s="30">
        <v>317039</v>
      </c>
      <c r="C11" s="30">
        <v>87</v>
      </c>
      <c r="D11" s="43">
        <v>8.632149576477699E-2</v>
      </c>
    </row>
    <row r="12" spans="1:9">
      <c r="A12" s="42" t="s">
        <v>15</v>
      </c>
      <c r="B12" s="30">
        <v>210331</v>
      </c>
      <c r="C12" s="30">
        <v>61</v>
      </c>
      <c r="D12" s="43">
        <v>8.5286185633727321E-2</v>
      </c>
      <c r="F12" s="66" t="s">
        <v>399</v>
      </c>
      <c r="G12" s="66"/>
    </row>
    <row r="13" spans="1:9">
      <c r="A13" s="41" t="s">
        <v>29</v>
      </c>
      <c r="B13" s="30">
        <v>228696</v>
      </c>
      <c r="C13" s="30">
        <v>63</v>
      </c>
      <c r="D13" s="43">
        <v>8.2324151888017033E-2</v>
      </c>
      <c r="F13" s="37" t="s">
        <v>15</v>
      </c>
      <c r="G13" s="30">
        <f>SUM(G9:I9)</f>
        <v>559356</v>
      </c>
    </row>
    <row r="14" spans="1:9">
      <c r="A14" s="42" t="s">
        <v>53</v>
      </c>
      <c r="B14" s="30">
        <v>105783</v>
      </c>
      <c r="C14" s="30">
        <v>29</v>
      </c>
      <c r="D14" s="43">
        <v>8.5733875915526406E-2</v>
      </c>
      <c r="F14" s="37" t="s">
        <v>24</v>
      </c>
      <c r="G14" s="30">
        <f>SUM(G8:I8)</f>
        <v>392503</v>
      </c>
    </row>
    <row r="15" spans="1:9">
      <c r="A15" s="42" t="s">
        <v>15</v>
      </c>
      <c r="B15" s="30">
        <v>122913</v>
      </c>
      <c r="C15" s="30">
        <v>34</v>
      </c>
      <c r="D15" s="43">
        <v>7.9599596150869645E-2</v>
      </c>
      <c r="F15" s="37" t="s">
        <v>53</v>
      </c>
      <c r="G15" s="30">
        <f>SUM(G7:I7)</f>
        <v>105783</v>
      </c>
    </row>
    <row r="16" spans="1:9">
      <c r="A16" s="41" t="s">
        <v>371</v>
      </c>
      <c r="B16" s="30">
        <v>1057642</v>
      </c>
      <c r="C16" s="30">
        <v>300</v>
      </c>
      <c r="D16" s="43">
        <v>8.481197764439917E-2</v>
      </c>
    </row>
    <row r="20" spans="6:18">
      <c r="F20" s="30"/>
      <c r="G20" s="40" t="s">
        <v>395</v>
      </c>
      <c r="H20" s="30"/>
      <c r="I20" s="30"/>
      <c r="J20" s="30"/>
      <c r="K20" s="30"/>
      <c r="L20" s="30"/>
      <c r="M20" s="30"/>
      <c r="N20" s="30"/>
      <c r="O20" s="30"/>
      <c r="P20" s="30"/>
      <c r="Q20" s="30"/>
      <c r="R20" s="30"/>
    </row>
    <row r="21" spans="6:18">
      <c r="F21" s="30"/>
      <c r="G21" s="30" t="s">
        <v>14</v>
      </c>
      <c r="H21" s="30"/>
      <c r="I21" s="30"/>
      <c r="J21" s="30" t="s">
        <v>23</v>
      </c>
      <c r="K21" s="30"/>
      <c r="L21" s="30"/>
      <c r="M21" s="30" t="s">
        <v>29</v>
      </c>
      <c r="N21" s="30"/>
      <c r="O21" s="30"/>
      <c r="P21" s="30" t="s">
        <v>396</v>
      </c>
      <c r="Q21" s="30" t="s">
        <v>398</v>
      </c>
      <c r="R21" s="30" t="s">
        <v>397</v>
      </c>
    </row>
    <row r="22" spans="6:18">
      <c r="F22" s="40" t="s">
        <v>370</v>
      </c>
      <c r="G22" s="30" t="s">
        <v>373</v>
      </c>
      <c r="H22" s="30" t="s">
        <v>375</v>
      </c>
      <c r="I22" s="30" t="s">
        <v>374</v>
      </c>
      <c r="J22" s="30" t="s">
        <v>373</v>
      </c>
      <c r="K22" s="30" t="s">
        <v>375</v>
      </c>
      <c r="L22" s="30" t="s">
        <v>374</v>
      </c>
      <c r="M22" s="30" t="s">
        <v>373</v>
      </c>
      <c r="N22" s="30" t="s">
        <v>375</v>
      </c>
      <c r="O22" s="30" t="s">
        <v>374</v>
      </c>
      <c r="P22" s="30"/>
      <c r="Q22" s="30"/>
      <c r="R22" s="30"/>
    </row>
    <row r="23" spans="6:18">
      <c r="F23" s="41" t="s">
        <v>15</v>
      </c>
      <c r="G23" s="30">
        <v>189658</v>
      </c>
      <c r="H23" s="30">
        <v>15162</v>
      </c>
      <c r="I23" s="30">
        <v>21292</v>
      </c>
      <c r="J23" s="30">
        <v>178192</v>
      </c>
      <c r="K23" s="30">
        <v>13135</v>
      </c>
      <c r="L23" s="30">
        <v>19004</v>
      </c>
      <c r="M23" s="30">
        <v>105536</v>
      </c>
      <c r="N23" s="30">
        <v>7845</v>
      </c>
      <c r="O23" s="30">
        <v>9532</v>
      </c>
      <c r="P23" s="30">
        <v>473386</v>
      </c>
      <c r="Q23" s="30">
        <v>36142</v>
      </c>
      <c r="R23" s="30">
        <v>49828</v>
      </c>
    </row>
    <row r="24" spans="6:18">
      <c r="F24" s="41" t="s">
        <v>24</v>
      </c>
      <c r="G24" s="30">
        <v>61815</v>
      </c>
      <c r="H24" s="30">
        <v>5656</v>
      </c>
      <c r="I24" s="30">
        <v>7993</v>
      </c>
      <c r="J24" s="30">
        <v>272103</v>
      </c>
      <c r="K24" s="30">
        <v>18442</v>
      </c>
      <c r="L24" s="30">
        <v>26494</v>
      </c>
      <c r="M24" s="30"/>
      <c r="N24" s="30"/>
      <c r="O24" s="30"/>
      <c r="P24" s="30">
        <v>333918</v>
      </c>
      <c r="Q24" s="30">
        <v>24098</v>
      </c>
      <c r="R24" s="30">
        <v>34487</v>
      </c>
    </row>
    <row r="25" spans="6:18">
      <c r="F25" s="41" t="s">
        <v>53</v>
      </c>
      <c r="G25" s="30"/>
      <c r="H25" s="30"/>
      <c r="I25" s="30"/>
      <c r="J25" s="30"/>
      <c r="K25" s="30"/>
      <c r="L25" s="30"/>
      <c r="M25" s="30">
        <v>89871</v>
      </c>
      <c r="N25" s="30">
        <v>6826</v>
      </c>
      <c r="O25" s="30">
        <v>9086</v>
      </c>
      <c r="P25" s="30">
        <v>89871</v>
      </c>
      <c r="Q25" s="30">
        <v>6826</v>
      </c>
      <c r="R25" s="30">
        <v>9086</v>
      </c>
    </row>
    <row r="26" spans="6:18">
      <c r="F26" s="41" t="s">
        <v>371</v>
      </c>
      <c r="G26" s="30">
        <v>251473</v>
      </c>
      <c r="H26" s="30">
        <v>20818</v>
      </c>
      <c r="I26" s="30">
        <v>29285</v>
      </c>
      <c r="J26" s="30">
        <v>450295</v>
      </c>
      <c r="K26" s="30">
        <v>31577</v>
      </c>
      <c r="L26" s="30">
        <v>45498</v>
      </c>
      <c r="M26" s="30">
        <v>195407</v>
      </c>
      <c r="N26" s="30">
        <v>14671</v>
      </c>
      <c r="O26" s="30">
        <v>18618</v>
      </c>
      <c r="P26" s="30">
        <v>897175</v>
      </c>
      <c r="Q26" s="30">
        <v>67066</v>
      </c>
      <c r="R26" s="30">
        <v>93401</v>
      </c>
    </row>
    <row r="37" spans="2:3">
      <c r="B37" s="40" t="s">
        <v>370</v>
      </c>
      <c r="C37" s="30" t="s">
        <v>400</v>
      </c>
    </row>
    <row r="38" spans="2:3">
      <c r="B38" s="41" t="s">
        <v>20</v>
      </c>
      <c r="C38" s="30">
        <v>130</v>
      </c>
    </row>
    <row r="39" spans="2:3">
      <c r="B39" s="41" t="s">
        <v>368</v>
      </c>
      <c r="C39" s="30">
        <v>33</v>
      </c>
    </row>
    <row r="40" spans="2:3">
      <c r="B40" s="41" t="s">
        <v>38</v>
      </c>
      <c r="C40" s="30">
        <v>57</v>
      </c>
    </row>
    <row r="41" spans="2:3">
      <c r="B41" s="41" t="s">
        <v>41</v>
      </c>
      <c r="C41" s="30">
        <v>80</v>
      </c>
    </row>
    <row r="42" spans="2:3">
      <c r="B42" s="41" t="s">
        <v>371</v>
      </c>
      <c r="C42" s="30">
        <v>300</v>
      </c>
    </row>
  </sheetData>
  <mergeCells count="1">
    <mergeCell ref="F12:G12"/>
  </mergeCells>
  <conditionalFormatting sqref="C37:D37 C43:D43 D38:D42">
    <cfRule type="dataBar" priority="2">
      <dataBar>
        <cfvo type="min"/>
        <cfvo type="max"/>
        <color rgb="FFFF555A"/>
      </dataBar>
      <extLst>
        <ext xmlns:x14="http://schemas.microsoft.com/office/spreadsheetml/2009/9/main" uri="{B025F937-C7B1-47D3-B67F-A62EFF666E3E}">
          <x14:id>{F469B53C-4610-4E48-A368-4EED264B7682}</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F469B53C-4610-4E48-A368-4EED264B7682}">
            <x14:dataBar minLength="0" maxLength="100" border="1" negativeBarBorderColorSameAsPositive="0">
              <x14:cfvo type="autoMin"/>
              <x14:cfvo type="autoMax"/>
              <x14:borderColor rgb="FFFF555A"/>
              <x14:negativeFillColor rgb="FFFF0000"/>
              <x14:negativeBorderColor rgb="FFFF0000"/>
              <x14:axisColor rgb="FF000000"/>
            </x14:dataBar>
          </x14:cfRule>
          <xm:sqref>C37:D37 C43:D43 D38:D42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FFB41-7F78-4922-AF81-82E978F8394F}">
  <dimension ref="B7:P45"/>
  <sheetViews>
    <sheetView topLeftCell="A13" zoomScale="54" zoomScaleNormal="115" workbookViewId="0">
      <selection activeCell="B41" sqref="B41:E42"/>
    </sheetView>
  </sheetViews>
  <sheetFormatPr defaultRowHeight="14.5"/>
  <cols>
    <col min="2" max="2" width="12.6328125" bestFit="1" customWidth="1"/>
    <col min="3" max="3" width="22.453125" bestFit="1" customWidth="1"/>
    <col min="4" max="4" width="12.08984375" bestFit="1" customWidth="1"/>
    <col min="5" max="5" width="12.6328125" bestFit="1" customWidth="1"/>
    <col min="6" max="6" width="15.7265625" bestFit="1" customWidth="1"/>
    <col min="7" max="7" width="10.1796875" bestFit="1" customWidth="1"/>
    <col min="8" max="8" width="9.6328125" bestFit="1" customWidth="1"/>
    <col min="12" max="12" width="12.6328125" bestFit="1" customWidth="1"/>
    <col min="13" max="13" width="10.1796875" bestFit="1" customWidth="1"/>
    <col min="14" max="14" width="19.08984375" bestFit="1" customWidth="1"/>
    <col min="16" max="16" width="20.453125" bestFit="1" customWidth="1"/>
  </cols>
  <sheetData>
    <row r="7" spans="2:16">
      <c r="B7" s="21" t="s">
        <v>370</v>
      </c>
      <c r="C7" t="s">
        <v>402</v>
      </c>
      <c r="D7" t="s">
        <v>403</v>
      </c>
      <c r="E7" t="s">
        <v>404</v>
      </c>
      <c r="F7" t="s">
        <v>405</v>
      </c>
      <c r="G7" t="s">
        <v>406</v>
      </c>
      <c r="H7" t="s">
        <v>407</v>
      </c>
      <c r="M7" s="40" t="s">
        <v>370</v>
      </c>
      <c r="N7" s="30" t="s">
        <v>412</v>
      </c>
      <c r="P7" s="50" t="s">
        <v>411</v>
      </c>
    </row>
    <row r="8" spans="2:16">
      <c r="B8" s="22" t="s">
        <v>17</v>
      </c>
      <c r="C8" s="65">
        <v>41116.025974025972</v>
      </c>
      <c r="D8" s="65">
        <v>3058.6623376623374</v>
      </c>
      <c r="E8" s="65">
        <v>186.41558441558442</v>
      </c>
      <c r="F8">
        <v>6331868</v>
      </c>
      <c r="G8">
        <v>28708</v>
      </c>
      <c r="H8">
        <v>471034</v>
      </c>
      <c r="M8" s="41" t="s">
        <v>409</v>
      </c>
      <c r="N8" s="43">
        <v>9.0957402746994001E-2</v>
      </c>
      <c r="P8" s="51">
        <f>(N9-N8)/N8</f>
        <v>6.1906244925588189E-2</v>
      </c>
    </row>
    <row r="9" spans="2:16">
      <c r="B9" s="22" t="s">
        <v>21</v>
      </c>
      <c r="C9" s="65">
        <v>42971.329787234041</v>
      </c>
      <c r="D9" s="65">
        <v>2919.7340425531916</v>
      </c>
      <c r="E9" s="65">
        <v>199.11702127659575</v>
      </c>
      <c r="F9">
        <v>4039305</v>
      </c>
      <c r="G9">
        <v>18717</v>
      </c>
      <c r="H9">
        <v>274455</v>
      </c>
      <c r="M9" s="41" t="s">
        <v>410</v>
      </c>
      <c r="N9" s="43">
        <v>9.658823399924478E-2</v>
      </c>
    </row>
    <row r="10" spans="2:16">
      <c r="B10" s="22" t="s">
        <v>54</v>
      </c>
      <c r="C10" s="65">
        <v>42546.65517241379</v>
      </c>
      <c r="D10" s="65">
        <v>3099</v>
      </c>
      <c r="E10" s="65">
        <v>191.62068965517241</v>
      </c>
      <c r="F10">
        <v>1233853</v>
      </c>
      <c r="G10">
        <v>5557</v>
      </c>
      <c r="H10">
        <v>89871</v>
      </c>
    </row>
    <row r="11" spans="2:16">
      <c r="B11" s="22" t="s">
        <v>51</v>
      </c>
      <c r="C11" s="65">
        <v>37626.34782608696</v>
      </c>
      <c r="D11" s="65">
        <v>2687.608695652174</v>
      </c>
      <c r="E11" s="65">
        <v>200.60869565217391</v>
      </c>
      <c r="F11">
        <v>865406</v>
      </c>
      <c r="G11">
        <v>4614</v>
      </c>
      <c r="H11">
        <v>61815</v>
      </c>
    </row>
    <row r="12" spans="2:16">
      <c r="B12" s="22" t="s">
        <v>371</v>
      </c>
      <c r="C12">
        <v>41568.106666666667</v>
      </c>
      <c r="D12">
        <v>2990.5833333333335</v>
      </c>
      <c r="E12">
        <v>191.98666666666668</v>
      </c>
      <c r="F12">
        <v>12470432</v>
      </c>
      <c r="G12">
        <v>57596</v>
      </c>
      <c r="H12">
        <v>897175</v>
      </c>
    </row>
    <row r="23" spans="2:3">
      <c r="B23" s="21" t="s">
        <v>370</v>
      </c>
      <c r="C23" t="s">
        <v>414</v>
      </c>
    </row>
    <row r="24" spans="2:3">
      <c r="B24" s="22" t="s">
        <v>17</v>
      </c>
      <c r="C24">
        <v>551989</v>
      </c>
    </row>
    <row r="25" spans="2:3">
      <c r="B25" s="22" t="s">
        <v>21</v>
      </c>
      <c r="C25">
        <v>324406</v>
      </c>
    </row>
    <row r="26" spans="2:3">
      <c r="B26" s="22" t="s">
        <v>54</v>
      </c>
      <c r="C26">
        <v>105783</v>
      </c>
    </row>
    <row r="27" spans="2:3">
      <c r="B27" s="22" t="s">
        <v>51</v>
      </c>
      <c r="C27">
        <v>75464</v>
      </c>
    </row>
    <row r="28" spans="2:3">
      <c r="B28" s="22" t="s">
        <v>371</v>
      </c>
      <c r="C28">
        <v>1057642</v>
      </c>
    </row>
    <row r="31" spans="2:3">
      <c r="B31" s="21" t="s">
        <v>370</v>
      </c>
      <c r="C31" t="s">
        <v>415</v>
      </c>
    </row>
    <row r="32" spans="2:3">
      <c r="B32" s="22" t="s">
        <v>17</v>
      </c>
      <c r="C32">
        <v>200000</v>
      </c>
    </row>
    <row r="33" spans="2:14">
      <c r="B33" s="22" t="s">
        <v>21</v>
      </c>
      <c r="C33">
        <v>160000</v>
      </c>
    </row>
    <row r="34" spans="2:14">
      <c r="B34" s="22" t="s">
        <v>54</v>
      </c>
      <c r="C34">
        <v>175000</v>
      </c>
      <c r="L34" s="21" t="s">
        <v>370</v>
      </c>
      <c r="M34" t="s">
        <v>406</v>
      </c>
    </row>
    <row r="35" spans="2:14">
      <c r="B35" s="22" t="s">
        <v>51</v>
      </c>
      <c r="C35">
        <v>225000</v>
      </c>
      <c r="L35" s="22" t="s">
        <v>17</v>
      </c>
      <c r="M35">
        <v>28708</v>
      </c>
    </row>
    <row r="36" spans="2:14">
      <c r="B36" s="22" t="s">
        <v>371</v>
      </c>
      <c r="C36">
        <v>760000</v>
      </c>
      <c r="L36" s="22" t="s">
        <v>21</v>
      </c>
      <c r="M36">
        <v>18717</v>
      </c>
    </row>
    <row r="37" spans="2:14">
      <c r="L37" s="22" t="s">
        <v>54</v>
      </c>
      <c r="M37">
        <v>5557</v>
      </c>
    </row>
    <row r="38" spans="2:14">
      <c r="B38" s="56" t="s">
        <v>413</v>
      </c>
      <c r="C38" s="57" t="s">
        <v>391</v>
      </c>
      <c r="D38" s="57" t="s">
        <v>417</v>
      </c>
      <c r="E38" s="57" t="s">
        <v>416</v>
      </c>
      <c r="L38" s="22" t="s">
        <v>51</v>
      </c>
      <c r="M38">
        <v>4614</v>
      </c>
    </row>
    <row r="39" spans="2:14">
      <c r="B39" s="54" t="s">
        <v>17</v>
      </c>
      <c r="C39" s="54">
        <v>551989</v>
      </c>
      <c r="D39" s="54">
        <v>200000</v>
      </c>
      <c r="E39" s="55">
        <f>C39/D39</f>
        <v>2.7599450000000001</v>
      </c>
      <c r="L39" s="22" t="s">
        <v>371</v>
      </c>
      <c r="M39">
        <v>57596</v>
      </c>
    </row>
    <row r="40" spans="2:14">
      <c r="B40" s="54" t="s">
        <v>21</v>
      </c>
      <c r="C40" s="54">
        <v>324406</v>
      </c>
      <c r="D40" s="54">
        <v>160000</v>
      </c>
      <c r="E40" s="55">
        <f>C40/D40</f>
        <v>2.0275375000000002</v>
      </c>
    </row>
    <row r="41" spans="2:14">
      <c r="B41" s="54" t="s">
        <v>54</v>
      </c>
      <c r="C41" s="54">
        <v>105783</v>
      </c>
      <c r="D41" s="54">
        <v>175000</v>
      </c>
      <c r="E41" s="55">
        <f>C41/D41</f>
        <v>0.60447428571428574</v>
      </c>
      <c r="L41" s="56" t="s">
        <v>413</v>
      </c>
      <c r="M41" s="57" t="s">
        <v>406</v>
      </c>
      <c r="N41" s="57" t="s">
        <v>418</v>
      </c>
    </row>
    <row r="42" spans="2:14">
      <c r="B42" s="54" t="s">
        <v>51</v>
      </c>
      <c r="C42" s="54">
        <v>75464</v>
      </c>
      <c r="D42" s="54">
        <v>225000</v>
      </c>
      <c r="E42" s="55">
        <f>C42/D42</f>
        <v>0.33539555555555556</v>
      </c>
      <c r="L42" s="54" t="s">
        <v>17</v>
      </c>
      <c r="M42" s="54" cm="1">
        <f t="array" ref="M42:M45">M35:M38</f>
        <v>28708</v>
      </c>
      <c r="N42" s="54">
        <f>RANK(M42,_xlfn.ANCHORARRAY($M$42),0)</f>
        <v>1</v>
      </c>
    </row>
    <row r="43" spans="2:14">
      <c r="L43" s="54" t="s">
        <v>21</v>
      </c>
      <c r="M43" s="54">
        <v>18717</v>
      </c>
      <c r="N43" s="54">
        <f>RANK(M43,_xlfn.ANCHORARRAY($M$42),0)</f>
        <v>2</v>
      </c>
    </row>
    <row r="44" spans="2:14">
      <c r="L44" s="54" t="s">
        <v>54</v>
      </c>
      <c r="M44" s="54">
        <v>5557</v>
      </c>
      <c r="N44" s="54">
        <f>RANK(M44,_xlfn.ANCHORARRAY($M$42),0)</f>
        <v>3</v>
      </c>
    </row>
    <row r="45" spans="2:14">
      <c r="L45" s="54" t="s">
        <v>51</v>
      </c>
      <c r="M45" s="54">
        <v>4614</v>
      </c>
      <c r="N45" s="54">
        <f>RANK(M45,_xlfn.ANCHORARRAY($M$42),0)</f>
        <v>4</v>
      </c>
    </row>
  </sheetData>
  <sortState xmlns:xlrd2="http://schemas.microsoft.com/office/spreadsheetml/2017/richdata2" ref="B39:E42">
    <sortCondition descending="1" ref="E38:E42"/>
  </sortState>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501CE-567A-426C-9871-BD9F10B73CF8}">
  <dimension ref="A8:M85"/>
  <sheetViews>
    <sheetView topLeftCell="A3" zoomScale="90" zoomScaleNormal="81" workbookViewId="0">
      <selection activeCell="J18" sqref="J18"/>
    </sheetView>
  </sheetViews>
  <sheetFormatPr defaultRowHeight="14.5"/>
  <cols>
    <col min="1" max="1" width="25.1796875" bestFit="1" customWidth="1"/>
    <col min="2" max="2" width="10.1796875" bestFit="1" customWidth="1"/>
    <col min="4" max="4" width="22" bestFit="1" customWidth="1"/>
    <col min="5" max="5" width="10.1796875" bestFit="1" customWidth="1"/>
    <col min="11" max="11" width="12.6328125" bestFit="1" customWidth="1"/>
    <col min="12" max="12" width="16" bestFit="1" customWidth="1"/>
    <col min="13" max="13" width="11.453125" bestFit="1" customWidth="1"/>
    <col min="14" max="14" width="18.453125" bestFit="1" customWidth="1"/>
  </cols>
  <sheetData>
    <row r="8" spans="1:13">
      <c r="A8" s="58" t="s">
        <v>370</v>
      </c>
      <c r="B8" s="59" t="s">
        <v>406</v>
      </c>
      <c r="K8" s="61" t="s">
        <v>413</v>
      </c>
      <c r="L8" s="61" t="s">
        <v>417</v>
      </c>
      <c r="M8" s="61" t="s">
        <v>406</v>
      </c>
    </row>
    <row r="9" spans="1:13">
      <c r="A9" s="60" t="s">
        <v>437</v>
      </c>
      <c r="B9" s="59">
        <v>1689</v>
      </c>
      <c r="K9" s="30" t="s">
        <v>17</v>
      </c>
      <c r="L9" s="54">
        <v>200000</v>
      </c>
      <c r="M9" s="30">
        <v>28708</v>
      </c>
    </row>
    <row r="10" spans="1:13">
      <c r="A10" s="41" t="s">
        <v>459</v>
      </c>
      <c r="B10" s="30">
        <v>1684</v>
      </c>
      <c r="K10" s="30" t="s">
        <v>21</v>
      </c>
      <c r="L10" s="54">
        <v>160000</v>
      </c>
      <c r="M10" s="30">
        <v>18717</v>
      </c>
    </row>
    <row r="11" spans="1:13">
      <c r="A11" s="41" t="s">
        <v>420</v>
      </c>
      <c r="B11" s="30">
        <v>1666</v>
      </c>
      <c r="K11" s="30" t="s">
        <v>54</v>
      </c>
      <c r="L11" s="54">
        <v>175000</v>
      </c>
      <c r="M11" s="30">
        <v>5557</v>
      </c>
    </row>
    <row r="12" spans="1:13">
      <c r="A12" s="41" t="s">
        <v>432</v>
      </c>
      <c r="B12" s="30">
        <v>1417</v>
      </c>
      <c r="K12" s="30" t="s">
        <v>51</v>
      </c>
      <c r="L12" s="54">
        <v>225000</v>
      </c>
      <c r="M12" s="30">
        <v>4614</v>
      </c>
    </row>
    <row r="13" spans="1:13">
      <c r="A13" s="41" t="s">
        <v>481</v>
      </c>
      <c r="B13" s="30">
        <v>1368</v>
      </c>
    </row>
    <row r="14" spans="1:13">
      <c r="A14" s="41" t="s">
        <v>453</v>
      </c>
      <c r="B14" s="30">
        <v>1316</v>
      </c>
    </row>
    <row r="15" spans="1:13">
      <c r="A15" s="41" t="s">
        <v>480</v>
      </c>
      <c r="B15" s="30">
        <v>1310</v>
      </c>
    </row>
    <row r="16" spans="1:13">
      <c r="A16" s="41" t="s">
        <v>426</v>
      </c>
      <c r="B16" s="30">
        <v>1300</v>
      </c>
      <c r="K16" s="62"/>
      <c r="L16" s="62" t="s">
        <v>417</v>
      </c>
      <c r="M16" s="62" t="s">
        <v>406</v>
      </c>
    </row>
    <row r="17" spans="1:13">
      <c r="A17" s="41" t="s">
        <v>446</v>
      </c>
      <c r="B17" s="30">
        <v>1247</v>
      </c>
      <c r="K17" s="54" t="s">
        <v>417</v>
      </c>
      <c r="L17" s="54">
        <v>1</v>
      </c>
      <c r="M17" s="54"/>
    </row>
    <row r="18" spans="1:13">
      <c r="A18" s="41" t="s">
        <v>490</v>
      </c>
      <c r="B18" s="30">
        <v>1214</v>
      </c>
      <c r="K18" s="54" t="s">
        <v>406</v>
      </c>
      <c r="L18" s="55">
        <v>-0.19895556642903114</v>
      </c>
      <c r="M18" s="54">
        <v>1</v>
      </c>
    </row>
    <row r="19" spans="1:13">
      <c r="A19" s="41" t="s">
        <v>467</v>
      </c>
      <c r="B19" s="30">
        <v>1199</v>
      </c>
    </row>
    <row r="20" spans="1:13">
      <c r="A20" s="41" t="s">
        <v>473</v>
      </c>
      <c r="B20" s="30">
        <v>1156</v>
      </c>
    </row>
    <row r="21" spans="1:13">
      <c r="A21" s="41" t="s">
        <v>476</v>
      </c>
      <c r="B21" s="30">
        <v>1139</v>
      </c>
    </row>
    <row r="22" spans="1:13">
      <c r="A22" s="41" t="s">
        <v>488</v>
      </c>
      <c r="B22" s="30">
        <v>1107</v>
      </c>
    </row>
    <row r="23" spans="1:13">
      <c r="A23" s="41" t="s">
        <v>471</v>
      </c>
      <c r="B23" s="30">
        <v>1101</v>
      </c>
    </row>
    <row r="24" spans="1:13">
      <c r="A24" s="41" t="s">
        <v>454</v>
      </c>
      <c r="B24" s="30">
        <v>1071</v>
      </c>
    </row>
    <row r="25" spans="1:13">
      <c r="A25" s="41" t="s">
        <v>493</v>
      </c>
      <c r="B25" s="30">
        <v>1065</v>
      </c>
    </row>
    <row r="26" spans="1:13">
      <c r="A26" s="41" t="s">
        <v>475</v>
      </c>
      <c r="B26" s="30">
        <v>1021</v>
      </c>
    </row>
    <row r="27" spans="1:13">
      <c r="A27" s="41" t="s">
        <v>460</v>
      </c>
      <c r="B27" s="30">
        <v>974</v>
      </c>
    </row>
    <row r="28" spans="1:13">
      <c r="A28" s="41" t="s">
        <v>486</v>
      </c>
      <c r="B28" s="30">
        <v>938</v>
      </c>
    </row>
    <row r="29" spans="1:13">
      <c r="A29" s="41" t="s">
        <v>468</v>
      </c>
      <c r="B29" s="30">
        <v>934</v>
      </c>
    </row>
    <row r="30" spans="1:13">
      <c r="A30" s="41" t="s">
        <v>465</v>
      </c>
      <c r="B30" s="30">
        <v>922</v>
      </c>
    </row>
    <row r="31" spans="1:13">
      <c r="A31" s="41" t="s">
        <v>474</v>
      </c>
      <c r="B31" s="30">
        <v>885</v>
      </c>
    </row>
    <row r="32" spans="1:13">
      <c r="A32" s="41" t="s">
        <v>425</v>
      </c>
      <c r="B32" s="30">
        <v>842</v>
      </c>
    </row>
    <row r="33" spans="1:2">
      <c r="A33" s="41" t="s">
        <v>472</v>
      </c>
      <c r="B33" s="30">
        <v>837</v>
      </c>
    </row>
    <row r="34" spans="1:2">
      <c r="A34" s="41" t="s">
        <v>441</v>
      </c>
      <c r="B34" s="30">
        <v>837</v>
      </c>
    </row>
    <row r="35" spans="1:2">
      <c r="A35" s="41" t="s">
        <v>430</v>
      </c>
      <c r="B35" s="30">
        <v>830</v>
      </c>
    </row>
    <row r="36" spans="1:2">
      <c r="A36" s="41" t="s">
        <v>463</v>
      </c>
      <c r="B36" s="30">
        <v>818</v>
      </c>
    </row>
    <row r="37" spans="1:2">
      <c r="A37" s="41" t="s">
        <v>487</v>
      </c>
      <c r="B37" s="30">
        <v>817</v>
      </c>
    </row>
    <row r="38" spans="1:2">
      <c r="A38" s="41" t="s">
        <v>464</v>
      </c>
      <c r="B38" s="30">
        <v>813</v>
      </c>
    </row>
    <row r="39" spans="1:2">
      <c r="A39" s="41" t="s">
        <v>447</v>
      </c>
      <c r="B39" s="30">
        <v>811</v>
      </c>
    </row>
    <row r="40" spans="1:2">
      <c r="A40" s="41" t="s">
        <v>466</v>
      </c>
      <c r="B40" s="30">
        <v>811</v>
      </c>
    </row>
    <row r="41" spans="1:2">
      <c r="A41" s="41" t="s">
        <v>478</v>
      </c>
      <c r="B41" s="30">
        <v>773</v>
      </c>
    </row>
    <row r="42" spans="1:2">
      <c r="A42" s="41" t="s">
        <v>450</v>
      </c>
      <c r="B42" s="30">
        <v>750</v>
      </c>
    </row>
    <row r="43" spans="1:2">
      <c r="A43" s="41" t="s">
        <v>442</v>
      </c>
      <c r="B43" s="30">
        <v>749</v>
      </c>
    </row>
    <row r="44" spans="1:2">
      <c r="A44" s="41" t="s">
        <v>424</v>
      </c>
      <c r="B44" s="30">
        <v>739</v>
      </c>
    </row>
    <row r="45" spans="1:2">
      <c r="A45" s="41" t="s">
        <v>445</v>
      </c>
      <c r="B45" s="30">
        <v>739</v>
      </c>
    </row>
    <row r="46" spans="1:2">
      <c r="A46" s="41" t="s">
        <v>451</v>
      </c>
      <c r="B46" s="30">
        <v>725</v>
      </c>
    </row>
    <row r="47" spans="1:2">
      <c r="A47" s="41" t="s">
        <v>484</v>
      </c>
      <c r="B47" s="30">
        <v>701</v>
      </c>
    </row>
    <row r="48" spans="1:2">
      <c r="A48" s="41" t="s">
        <v>423</v>
      </c>
      <c r="B48" s="30">
        <v>695</v>
      </c>
    </row>
    <row r="49" spans="1:2">
      <c r="A49" s="41" t="s">
        <v>455</v>
      </c>
      <c r="B49" s="30">
        <v>695</v>
      </c>
    </row>
    <row r="50" spans="1:2">
      <c r="A50" s="41" t="s">
        <v>431</v>
      </c>
      <c r="B50" s="30">
        <v>689</v>
      </c>
    </row>
    <row r="51" spans="1:2">
      <c r="A51" s="41" t="s">
        <v>492</v>
      </c>
      <c r="B51" s="30">
        <v>681</v>
      </c>
    </row>
    <row r="52" spans="1:2">
      <c r="A52" s="41" t="s">
        <v>469</v>
      </c>
      <c r="B52" s="30">
        <v>676</v>
      </c>
    </row>
    <row r="53" spans="1:2">
      <c r="A53" s="41" t="s">
        <v>485</v>
      </c>
      <c r="B53" s="30">
        <v>675</v>
      </c>
    </row>
    <row r="54" spans="1:2">
      <c r="A54" s="41" t="s">
        <v>434</v>
      </c>
      <c r="B54" s="30">
        <v>669</v>
      </c>
    </row>
    <row r="55" spans="1:2">
      <c r="A55" s="41" t="s">
        <v>483</v>
      </c>
      <c r="B55" s="30">
        <v>658</v>
      </c>
    </row>
    <row r="56" spans="1:2">
      <c r="A56" s="41" t="s">
        <v>461</v>
      </c>
      <c r="B56" s="30">
        <v>641</v>
      </c>
    </row>
    <row r="57" spans="1:2">
      <c r="A57" s="41" t="s">
        <v>457</v>
      </c>
      <c r="B57" s="30">
        <v>604</v>
      </c>
    </row>
    <row r="58" spans="1:2">
      <c r="A58" s="41" t="s">
        <v>438</v>
      </c>
      <c r="B58" s="30">
        <v>584</v>
      </c>
    </row>
    <row r="59" spans="1:2">
      <c r="A59" s="41" t="s">
        <v>443</v>
      </c>
      <c r="B59" s="30">
        <v>581</v>
      </c>
    </row>
    <row r="60" spans="1:2">
      <c r="A60" s="41" t="s">
        <v>422</v>
      </c>
      <c r="B60" s="30">
        <v>576</v>
      </c>
    </row>
    <row r="61" spans="1:2">
      <c r="A61" s="41" t="s">
        <v>419</v>
      </c>
      <c r="B61" s="30">
        <v>575</v>
      </c>
    </row>
    <row r="62" spans="1:2">
      <c r="A62" s="41" t="s">
        <v>458</v>
      </c>
      <c r="B62" s="30">
        <v>511</v>
      </c>
    </row>
    <row r="63" spans="1:2">
      <c r="A63" s="41" t="s">
        <v>429</v>
      </c>
      <c r="B63" s="30">
        <v>476</v>
      </c>
    </row>
    <row r="64" spans="1:2">
      <c r="A64" s="41" t="s">
        <v>421</v>
      </c>
      <c r="B64" s="30">
        <v>473</v>
      </c>
    </row>
    <row r="65" spans="1:2">
      <c r="A65" s="41" t="s">
        <v>456</v>
      </c>
      <c r="B65" s="30">
        <v>469</v>
      </c>
    </row>
    <row r="66" spans="1:2">
      <c r="A66" s="41" t="s">
        <v>444</v>
      </c>
      <c r="B66" s="30">
        <v>465</v>
      </c>
    </row>
    <row r="67" spans="1:2">
      <c r="A67" s="41" t="s">
        <v>433</v>
      </c>
      <c r="B67" s="30">
        <v>451</v>
      </c>
    </row>
    <row r="68" spans="1:2">
      <c r="A68" s="41" t="s">
        <v>448</v>
      </c>
      <c r="B68" s="30">
        <v>446</v>
      </c>
    </row>
    <row r="69" spans="1:2">
      <c r="A69" s="41" t="s">
        <v>440</v>
      </c>
      <c r="B69" s="30">
        <v>435</v>
      </c>
    </row>
    <row r="70" spans="1:2">
      <c r="A70" s="41" t="s">
        <v>436</v>
      </c>
      <c r="B70" s="30">
        <v>410</v>
      </c>
    </row>
    <row r="71" spans="1:2">
      <c r="A71" s="41" t="s">
        <v>477</v>
      </c>
      <c r="B71" s="30">
        <v>406</v>
      </c>
    </row>
    <row r="72" spans="1:2">
      <c r="A72" s="41" t="s">
        <v>435</v>
      </c>
      <c r="B72" s="30">
        <v>396</v>
      </c>
    </row>
    <row r="73" spans="1:2">
      <c r="A73" s="41" t="s">
        <v>428</v>
      </c>
      <c r="B73" s="30">
        <v>390</v>
      </c>
    </row>
    <row r="74" spans="1:2">
      <c r="A74" s="41" t="s">
        <v>482</v>
      </c>
      <c r="B74" s="30">
        <v>367</v>
      </c>
    </row>
    <row r="75" spans="1:2">
      <c r="A75" s="41" t="s">
        <v>491</v>
      </c>
      <c r="B75" s="30">
        <v>327</v>
      </c>
    </row>
    <row r="76" spans="1:2">
      <c r="A76" s="41" t="s">
        <v>470</v>
      </c>
      <c r="B76" s="30">
        <v>319</v>
      </c>
    </row>
    <row r="77" spans="1:2">
      <c r="A77" s="41" t="s">
        <v>494</v>
      </c>
      <c r="B77" s="30">
        <v>315</v>
      </c>
    </row>
    <row r="78" spans="1:2">
      <c r="A78" s="41" t="s">
        <v>495</v>
      </c>
      <c r="B78" s="30">
        <v>307</v>
      </c>
    </row>
    <row r="79" spans="1:2">
      <c r="A79" s="41" t="s">
        <v>462</v>
      </c>
      <c r="B79" s="30">
        <v>294</v>
      </c>
    </row>
    <row r="80" spans="1:2">
      <c r="A80" s="41" t="s">
        <v>489</v>
      </c>
      <c r="B80" s="30">
        <v>245</v>
      </c>
    </row>
    <row r="81" spans="1:2">
      <c r="A81" s="41" t="s">
        <v>452</v>
      </c>
      <c r="B81" s="30">
        <v>222</v>
      </c>
    </row>
    <row r="82" spans="1:2">
      <c r="A82" s="41" t="s">
        <v>427</v>
      </c>
      <c r="B82" s="30">
        <v>169</v>
      </c>
    </row>
    <row r="83" spans="1:2">
      <c r="A83" s="41" t="s">
        <v>479</v>
      </c>
      <c r="B83" s="30">
        <v>158</v>
      </c>
    </row>
    <row r="84" spans="1:2">
      <c r="A84" s="41" t="s">
        <v>449</v>
      </c>
      <c r="B84" s="30">
        <v>122</v>
      </c>
    </row>
    <row r="85" spans="1:2">
      <c r="A85" s="41" t="s">
        <v>439</v>
      </c>
      <c r="B85" s="30">
        <v>109</v>
      </c>
    </row>
  </sheetData>
  <conditionalFormatting pivot="1" sqref="B9:B85">
    <cfRule type="dataBar" priority="1">
      <dataBar>
        <cfvo type="min"/>
        <cfvo type="max"/>
        <color rgb="FF63C384"/>
      </dataBar>
      <extLst>
        <ext xmlns:x14="http://schemas.microsoft.com/office/spreadsheetml/2009/9/main" uri="{B025F937-C7B1-47D3-B67F-A62EFF666E3E}">
          <x14:id>{AB4FCD7C-29E2-462F-9E71-1B0897E4FB11}</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AB4FCD7C-29E2-462F-9E71-1B0897E4FB11}">
            <x14:dataBar minLength="0" maxLength="100" border="1" negativeBarBorderColorSameAsPositive="0">
              <x14:cfvo type="autoMin"/>
              <x14:cfvo type="autoMax"/>
              <x14:borderColor rgb="FF63C384"/>
              <x14:negativeFillColor rgb="FFFF0000"/>
              <x14:negativeBorderColor rgb="FFFF0000"/>
              <x14:axisColor rgb="FF000000"/>
            </x14:dataBar>
          </x14:cfRule>
          <xm:sqref>B9:B85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election activeCell="A2" sqref="A2:A5"/>
    </sheetView>
  </sheetViews>
  <sheetFormatPr defaultColWidth="14.453125" defaultRowHeight="15" customHeight="1"/>
  <cols>
    <col min="1" max="1" width="15.08984375" bestFit="1" customWidth="1"/>
    <col min="2" max="3" width="10.08984375" bestFit="1" customWidth="1"/>
    <col min="4" max="4" width="15.453125" bestFit="1" customWidth="1"/>
    <col min="5" max="5" width="12" bestFit="1" customWidth="1"/>
    <col min="6" max="6" width="17.7265625" bestFit="1" customWidth="1"/>
    <col min="7" max="7" width="32.6328125" bestFit="1" customWidth="1"/>
    <col min="8" max="8" width="15.453125" bestFit="1" customWidth="1"/>
    <col min="9" max="9" width="19.6328125" bestFit="1" customWidth="1"/>
    <col min="10" max="26" width="8.7265625" customWidth="1"/>
  </cols>
  <sheetData>
    <row r="1" spans="1:9" ht="14.5">
      <c r="A1" s="52" t="s">
        <v>12</v>
      </c>
      <c r="B1" s="52" t="s">
        <v>342</v>
      </c>
      <c r="C1" s="52" t="s">
        <v>343</v>
      </c>
      <c r="D1" s="52" t="s">
        <v>344</v>
      </c>
      <c r="E1" s="52" t="s">
        <v>345</v>
      </c>
      <c r="F1" s="52" t="s">
        <v>346</v>
      </c>
      <c r="G1" s="52" t="s">
        <v>347</v>
      </c>
    </row>
    <row r="2" spans="1:9" ht="14.5">
      <c r="A2" s="53" t="s">
        <v>54</v>
      </c>
      <c r="B2" s="53" t="s">
        <v>348</v>
      </c>
      <c r="C2" s="53" t="s">
        <v>349</v>
      </c>
      <c r="D2" s="53" t="s">
        <v>350</v>
      </c>
      <c r="E2" s="53">
        <v>175000</v>
      </c>
      <c r="F2" s="53" t="s">
        <v>351</v>
      </c>
      <c r="G2" s="53" t="s">
        <v>352</v>
      </c>
      <c r="I2" s="20"/>
    </row>
    <row r="3" spans="1:9" ht="14.5">
      <c r="A3" s="53" t="s">
        <v>51</v>
      </c>
      <c r="B3" s="53" t="s">
        <v>353</v>
      </c>
      <c r="C3" s="53" t="s">
        <v>354</v>
      </c>
      <c r="D3" s="53" t="s">
        <v>355</v>
      </c>
      <c r="E3" s="53">
        <v>225000</v>
      </c>
      <c r="F3" s="53" t="s">
        <v>356</v>
      </c>
      <c r="G3" s="53" t="s">
        <v>357</v>
      </c>
      <c r="I3" s="20"/>
    </row>
    <row r="4" spans="1:9" ht="14.5">
      <c r="A4" s="53" t="s">
        <v>17</v>
      </c>
      <c r="B4" s="53" t="s">
        <v>358</v>
      </c>
      <c r="C4" s="53" t="s">
        <v>359</v>
      </c>
      <c r="D4" s="53" t="s">
        <v>360</v>
      </c>
      <c r="E4" s="53">
        <v>200000</v>
      </c>
      <c r="F4" s="53" t="s">
        <v>361</v>
      </c>
      <c r="G4" s="53" t="s">
        <v>362</v>
      </c>
      <c r="I4" s="20"/>
    </row>
    <row r="5" spans="1:9" ht="14.5">
      <c r="A5" s="53" t="s">
        <v>21</v>
      </c>
      <c r="B5" s="53" t="s">
        <v>363</v>
      </c>
      <c r="C5" s="53" t="s">
        <v>364</v>
      </c>
      <c r="D5" s="53" t="s">
        <v>365</v>
      </c>
      <c r="E5" s="53">
        <v>160000</v>
      </c>
      <c r="F5" s="53" t="s">
        <v>366</v>
      </c>
      <c r="G5" s="53" t="s">
        <v>367</v>
      </c>
      <c r="I5" s="20"/>
    </row>
    <row r="6" spans="1:9" ht="15" customHeight="1">
      <c r="A6" s="30"/>
      <c r="B6" s="30"/>
      <c r="C6" s="30"/>
      <c r="D6" s="30"/>
      <c r="E6" s="30"/>
      <c r="F6" s="30"/>
      <c r="G6" s="3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2FC3E4-585F-43C4-9861-24BDE5CEF0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Video Upload link</vt:lpstr>
      <vt:lpstr>Posts</vt:lpstr>
      <vt:lpstr>Task-1</vt:lpstr>
      <vt:lpstr>Task-2</vt:lpstr>
      <vt:lpstr>Task-3 Engagement Summary</vt:lpstr>
      <vt:lpstr>Task-4</vt:lpstr>
      <vt:lpstr>Task-5</vt:lpstr>
      <vt:lpstr>Task 6</vt:lpstr>
      <vt:lpstr>Campaign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Romish Gujjar</cp:lastModifiedBy>
  <dcterms:modified xsi:type="dcterms:W3CDTF">2026-02-20T15:04:01Z</dcterms:modified>
</cp:coreProperties>
</file>